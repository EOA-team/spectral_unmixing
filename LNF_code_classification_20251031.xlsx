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80873755\Downloads\"/>
    </mc:Choice>
  </mc:AlternateContent>
  <xr:revisionPtr revIDLastSave="0" documentId="13_ncr:1_{3BB9B032-0B26-49E5-83CF-7B210E8A585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abel_sheet" sheetId="1" r:id="rId1"/>
    <sheet name="Tabelle2" sheetId="2" r:id="rId2"/>
    <sheet name="arable_grassland" sheetId="3" r:id="rId3"/>
  </sheets>
  <definedNames>
    <definedName name="_xlnm._FilterDatabase" localSheetId="0">label_sheet!$J$1:$L$144</definedName>
    <definedName name="_xlnm._FilterDatabase" localSheetId="1">Tabelle2!$A$1:$L$1</definedName>
    <definedName name="ExterneDaten_1" localSheetId="0">label_sheet!$A$1:$I$144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4" i="2" l="1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<sst xmlns="http://schemas.openxmlformats.org/spreadsheetml/2006/main" count="2849" uniqueCount="388">
  <si>
    <t>GT</t>
  </si>
  <si>
    <t>LNF_code</t>
  </si>
  <si>
    <t>raw_DE</t>
  </si>
  <si>
    <t>raw_ENG</t>
  </si>
  <si>
    <t>1st_tier</t>
  </si>
  <si>
    <t>2nd_tier</t>
  </si>
  <si>
    <t>3rd_tier</t>
  </si>
  <si>
    <t>4th_tier_ENG</t>
  </si>
  <si>
    <t>categories2024</t>
  </si>
  <si>
    <t>Pixel Value</t>
  </si>
  <si>
    <t xml:space="preserve"> Count</t>
  </si>
  <si>
    <t>match</t>
  </si>
  <si>
    <t>Obstanlagen (Äpfel)</t>
  </si>
  <si>
    <t>Fruit plants (apples)</t>
  </si>
  <si>
    <t>Vegetation</t>
  </si>
  <si>
    <t>Orchards</t>
  </si>
  <si>
    <t>OrchardCrop</t>
  </si>
  <si>
    <t>Apples</t>
  </si>
  <si>
    <t>true</t>
  </si>
  <si>
    <t>Spargel</t>
  </si>
  <si>
    <t>asparagus</t>
  </si>
  <si>
    <t>Special crops</t>
  </si>
  <si>
    <t>Asparagus</t>
  </si>
  <si>
    <t>Futterrüben</t>
  </si>
  <si>
    <t>fodder beet</t>
  </si>
  <si>
    <t>Field crops</t>
  </si>
  <si>
    <t>BroadLeafRowCrop</t>
  </si>
  <si>
    <t>Beets</t>
  </si>
  <si>
    <t>Mehrjährige Beeren</t>
  </si>
  <si>
    <t>Perennial berries</t>
  </si>
  <si>
    <t>Berries</t>
  </si>
  <si>
    <t>Einjährige Beeren (z.B. Erdbeeren)</t>
  </si>
  <si>
    <t>Annual berries (e.g., strawberries)</t>
  </si>
  <si>
    <t>Regionsspezifische Biodiversitätsförderfläche (Grünflächen ohne Weiden)</t>
  </si>
  <si>
    <t>Biodiversity promotion area</t>
  </si>
  <si>
    <t>Ackerschonstreifen</t>
  </si>
  <si>
    <t>Conservation headlands</t>
  </si>
  <si>
    <t>Grassland</t>
  </si>
  <si>
    <t>BiodiversityArea</t>
  </si>
  <si>
    <t>Biodiversity encouragement area</t>
  </si>
  <si>
    <t>Regionsspezifische Biodiversitätsförderflächen</t>
  </si>
  <si>
    <t>Region-specific biodiversity promotion areas</t>
  </si>
  <si>
    <t>Regionsspezifische Biodiversitätsförderflächen (Weiden)</t>
  </si>
  <si>
    <t>Buchweizen</t>
  </si>
  <si>
    <t>buckwheat</t>
  </si>
  <si>
    <t>SmallGrainCereal</t>
  </si>
  <si>
    <t>Buckwheat</t>
  </si>
  <si>
    <t>Gepflegte Selven (Kastanienbäume)</t>
  </si>
  <si>
    <t>Cultivated selven (chestnut trees)</t>
  </si>
  <si>
    <t>Chestnut</t>
  </si>
  <si>
    <t>Wurzeln der Treibzichorie</t>
  </si>
  <si>
    <t>chicory roots</t>
  </si>
  <si>
    <t>VegetableCrop</t>
  </si>
  <si>
    <t>Chicory</t>
  </si>
  <si>
    <t>Mischungen von Ackerbohnen, Eiweisserbsen und Lupinen zu Futterzwecken mit Getreide, mindestens 30% Anteil Leguminosen bei der Ernte</t>
  </si>
  <si>
    <t>Mixtures of field beans, protein peas and lupines for animal feed with cereals, at least 30% legume content at harvest</t>
  </si>
  <si>
    <t>CropMix</t>
  </si>
  <si>
    <t>MixedCrop</t>
  </si>
  <si>
    <t>crop mixtures</t>
  </si>
  <si>
    <t>Mehrjährige Gewürz- und Medizinalpflanzen</t>
  </si>
  <si>
    <t>Perennial spice and medicinal plants</t>
  </si>
  <si>
    <t>Crop other</t>
  </si>
  <si>
    <t>Einjährige Gewürz- und Medizinalpflanzen</t>
  </si>
  <si>
    <t>Annual spice and medicinal plants</t>
  </si>
  <si>
    <t>Rhabarber</t>
  </si>
  <si>
    <t>rhubarb</t>
  </si>
  <si>
    <t>Mehrjährige nachwachsende Rohstoffe (Chinaschilf, usw.)</t>
  </si>
  <si>
    <t>Perennial renewable resources (miscanthus, etc.)</t>
  </si>
  <si>
    <t>Quinoa</t>
  </si>
  <si>
    <t>Trüffelanlagen</t>
  </si>
  <si>
    <t>Truffle plants (in production)</t>
  </si>
  <si>
    <t>Mohn</t>
  </si>
  <si>
    <t>Poppy</t>
  </si>
  <si>
    <t>Saflor</t>
  </si>
  <si>
    <t>safflower</t>
  </si>
  <si>
    <t>Landwirtschaftliche Produktion in Gebäuden (z. B. Champignon, Brüsseler)</t>
  </si>
  <si>
    <t>agricultural production in buildings (e.g. champignons, brussel sprouts)</t>
  </si>
  <si>
    <t>Infrastructure</t>
  </si>
  <si>
    <t>Maulbeerbaumanlagen (Fütterung Seidenraupen)</t>
  </si>
  <si>
    <t>Mulberry trees (feeding silkworms)</t>
  </si>
  <si>
    <t>Einjährige nachwachsende Rohstoffe (Kenaf, usw.)</t>
  </si>
  <si>
    <t>single-year regrowing ressources (Kenaf and others)</t>
  </si>
  <si>
    <t>Pilze (Freiland)</t>
  </si>
  <si>
    <t>mushrooms (field-grown)</t>
  </si>
  <si>
    <t>Emmer, Einkorn</t>
  </si>
  <si>
    <t>wild emmer, einkorn wheat</t>
  </si>
  <si>
    <t>EinkornWheat</t>
  </si>
  <si>
    <t>Einkorn wheat</t>
  </si>
  <si>
    <t>Rotationsbrache</t>
  </si>
  <si>
    <t>rotational set-aside</t>
  </si>
  <si>
    <t>Fallow</t>
  </si>
  <si>
    <t>Übrige offene Ackerfläche, beitragsberechtigt</t>
  </si>
  <si>
    <t>Other open arable land, eligible</t>
  </si>
  <si>
    <t>Bare soil</t>
  </si>
  <si>
    <t>Übrige offene Ackerfläche, nicht beitragsberechtigt</t>
  </si>
  <si>
    <t>Other open arable land, not eligible</t>
  </si>
  <si>
    <t>Offene Ackerfläche, beitragsberechtigt (regionsspezifische Biodiversitätsförderfläche)</t>
  </si>
  <si>
    <t>open arable land, eligible for subsidies (region-specific biodiversity area)</t>
  </si>
  <si>
    <t>Übrige offene Ackerfläche, nicht beitragsberechtigt (regionsspezifische Biodiversitätsförderfläche)</t>
  </si>
  <si>
    <t>Buntbrache</t>
  </si>
  <si>
    <t>fallow</t>
  </si>
  <si>
    <t>Fallow extensive</t>
  </si>
  <si>
    <t>Ackerbohnen zu Futterzwecken</t>
  </si>
  <si>
    <t>Field beans for animal feed</t>
  </si>
  <si>
    <t>Field bean</t>
  </si>
  <si>
    <t>Saum auf Ackerflächen</t>
  </si>
  <si>
    <t>Hem on arable land</t>
  </si>
  <si>
    <t>Meadow</t>
  </si>
  <si>
    <t>Field margin</t>
  </si>
  <si>
    <t>Blühstreifen für Bestäuber und andere Nützlinge</t>
  </si>
  <si>
    <t>Bloom strips for pollinators and other beneficials</t>
  </si>
  <si>
    <t>Flowerstrips</t>
  </si>
  <si>
    <t>Wald</t>
  </si>
  <si>
    <t>Forest</t>
  </si>
  <si>
    <t>Waldweiden (ohne bewaldete Fläche)</t>
  </si>
  <si>
    <t>Forest pastures (without wooded area)</t>
  </si>
  <si>
    <t>Pasture</t>
  </si>
  <si>
    <t>Forest Pasture</t>
  </si>
  <si>
    <t>Einjährige gärtnerische Freilandkulturen (Blumen, Rollrasen usw.)</t>
  </si>
  <si>
    <t>Annual horticultural outdoor crops (flowers, turf etc.)</t>
  </si>
  <si>
    <t>Gardens</t>
  </si>
  <si>
    <t>Hausgärten</t>
  </si>
  <si>
    <t>home gardens</t>
  </si>
  <si>
    <t>Mehrjährige gärtnerische Freilandkulturen (nicht im Gewächshaus)</t>
  </si>
  <si>
    <t>Perennial horticultural outdoor crops (not in the greenhouse)</t>
  </si>
  <si>
    <t>Getreide siliert</t>
  </si>
  <si>
    <t>Ensiled grain</t>
  </si>
  <si>
    <t>Grain</t>
  </si>
  <si>
    <t>Mischel Futtergetreide</t>
  </si>
  <si>
    <t>mixed fodder cereals</t>
  </si>
  <si>
    <t>Mischel Brotgetreide</t>
  </si>
  <si>
    <t>mixed cereals for bread production</t>
  </si>
  <si>
    <t>Übrige Kulturen in geschütztem Anbau mit festem Fundament</t>
  </si>
  <si>
    <t>other cultures in protected cultivation with solid foundation)</t>
  </si>
  <si>
    <t>Greenhouse</t>
  </si>
  <si>
    <t>Gemüsekulturen in Gewächshäusern mit festem Fundament</t>
  </si>
  <si>
    <t>Vegetable crops in greenhouses with solid foundations</t>
  </si>
  <si>
    <t>Vegetables</t>
  </si>
  <si>
    <t>Greenhouses</t>
  </si>
  <si>
    <t>Horticultural crops in greenhouses with solid foundations</t>
  </si>
  <si>
    <t>Special cultures</t>
  </si>
  <si>
    <t>Übrige Spezialkulturen in Gewächshäusern mit festem Fundament</t>
  </si>
  <si>
    <t>Other specialized crops in greenhouses with solid foundations</t>
  </si>
  <si>
    <t>Hecken-, Feld- und Ufergehölze (mit Krautsaum)</t>
  </si>
  <si>
    <t>Hedge, field and bank shrubs (with herbaceous area)</t>
  </si>
  <si>
    <t>Hedge</t>
  </si>
  <si>
    <t>Hecken-, Feld- und Ufergehölze (mit Pufferstreifen)</t>
  </si>
  <si>
    <t>Hedgerow, field and bank shrubs (with buffer strips)</t>
  </si>
  <si>
    <t>Hecken-, Feld- und Ufergehölze (mit Pufferstreifen) (regionsspezifische Biodiversitätsförderfläche)</t>
  </si>
  <si>
    <t>Hedgerow, field and bank shrubs (with buffer strips) (region-specific biodiversity production area)</t>
  </si>
  <si>
    <t>Hanf zur Nutzung der Samen</t>
  </si>
  <si>
    <t>Hemp</t>
  </si>
  <si>
    <t>Anderer Hanf</t>
  </si>
  <si>
    <t>Hanf zur Fasernutzung</t>
  </si>
  <si>
    <t>Hanf</t>
  </si>
  <si>
    <t>hemp</t>
  </si>
  <si>
    <t>Hopfen</t>
  </si>
  <si>
    <t>hop</t>
  </si>
  <si>
    <t>Hops</t>
  </si>
  <si>
    <t>Futterleguminosen für die Samenproduktion (Vertragsanbau)</t>
  </si>
  <si>
    <t>fodder legumes (Fabaceae) for seed production (by contract)</t>
  </si>
  <si>
    <t>Legumes</t>
  </si>
  <si>
    <t>Linsen</t>
  </si>
  <si>
    <t>lentils</t>
  </si>
  <si>
    <t>Lentils</t>
  </si>
  <si>
    <t>Lein</t>
  </si>
  <si>
    <t>flax</t>
  </si>
  <si>
    <t>Linen</t>
  </si>
  <si>
    <t>Leindotter</t>
  </si>
  <si>
    <t>false flax (camelina sativa)</t>
  </si>
  <si>
    <t>Lupinen zu Futterzwecken</t>
  </si>
  <si>
    <t>lupine for fodder</t>
  </si>
  <si>
    <t>Lupine</t>
  </si>
  <si>
    <t>Körnermais</t>
  </si>
  <si>
    <t>grain maize</t>
  </si>
  <si>
    <t>LargeGrainCereal</t>
  </si>
  <si>
    <t>Maize</t>
  </si>
  <si>
    <t>Maize grain</t>
  </si>
  <si>
    <t>Saatmais (Vertragsanbau)</t>
  </si>
  <si>
    <t>maize for seed production (by contract)</t>
  </si>
  <si>
    <t>Maize seeds</t>
  </si>
  <si>
    <t>Silo- und Grünmais</t>
  </si>
  <si>
    <t>Mads d'ensilage et mads vert</t>
  </si>
  <si>
    <t>Maize silage</t>
  </si>
  <si>
    <t>Heuwiesen mit Zufütterung während der Sömmerung</t>
  </si>
  <si>
    <t>Extensiv genutzte Wiesen (ohne Weiden)</t>
  </si>
  <si>
    <t>Extensively used meadows (without pastures)</t>
  </si>
  <si>
    <t>Meadow extensiv</t>
  </si>
  <si>
    <t>Wenig intensiv genutzte Wiesen (ohne Weiden)</t>
  </si>
  <si>
    <t>Little intensively used meadows (without pastures)</t>
  </si>
  <si>
    <t>Streueflächen in der LN</t>
  </si>
  <si>
    <t>Scattering areas in the LN</t>
  </si>
  <si>
    <t>Streueflächen im Sömmerungsgebiet</t>
  </si>
  <si>
    <t>Futtergräser für die Samenproduktion (Vertragsanbau)</t>
  </si>
  <si>
    <t>fodder grasses for seed production (by contract)</t>
  </si>
  <si>
    <t>Meadow other</t>
  </si>
  <si>
    <t>Übrige Dauerwiesen (ohne Weiden)</t>
  </si>
  <si>
    <t>Other permanent pastures (without pastures)</t>
  </si>
  <si>
    <t>Meadow permanent</t>
  </si>
  <si>
    <t>Kunstwiesen (ohne Weiden)</t>
  </si>
  <si>
    <t>Art meadows (without pastures)</t>
  </si>
  <si>
    <t>Meadow sown</t>
  </si>
  <si>
    <t>Übrige Kunstwiese, beitragsberechtigt (z.B. Schweineweide, Geflügelweide)</t>
  </si>
  <si>
    <t>Other artificial meadow, eligible (eg pork pasture, poultry pasture)</t>
  </si>
  <si>
    <t>Senf</t>
  </si>
  <si>
    <t>mustard</t>
  </si>
  <si>
    <t>Mustard</t>
  </si>
  <si>
    <t>Übrige Flächen ausserhalb der LN und SF</t>
  </si>
  <si>
    <t>Other areas outside the LN and SF</t>
  </si>
  <si>
    <t>Undefined</t>
  </si>
  <si>
    <t>Non agriculture</t>
  </si>
  <si>
    <t>Flächen ohne landwirtschaftliche Hauptzweckbestimmung (erschlossenes Bauland, Spiel-, Reit-, Camping-, Golf-, Flug- und Militärplätze oder ausgemarchte Bereiche von Eisenbahnen, öffentlichen Strassen und Gewässern)</t>
  </si>
  <si>
    <t>Areas without main agricultural purpose (developed building land, playground, riding, camping, golf, air and military spaces</t>
  </si>
  <si>
    <t>Ruderalflächen, Steinhaufen und -wälle</t>
  </si>
  <si>
    <t>Ruderal areas, cairns and ramparts</t>
  </si>
  <si>
    <t>Übrige Baumschulen (Rosen, Früchte, usw.)</t>
  </si>
  <si>
    <t>Other nurseries (roses, fruits, etc.)</t>
  </si>
  <si>
    <t>Nurseries</t>
  </si>
  <si>
    <t>Ziersträucher, Ziergehölze und Zierstauden</t>
  </si>
  <si>
    <t>Ornamental shrubs, ornamental shrubs and ornamental shrubs</t>
  </si>
  <si>
    <t>Hafer</t>
  </si>
  <si>
    <t>oats</t>
  </si>
  <si>
    <t>Oat</t>
  </si>
  <si>
    <t>Obstanlagen (Steinobst)</t>
  </si>
  <si>
    <t>Fruit plants (Steinobs)</t>
  </si>
  <si>
    <t>StoneFruit</t>
  </si>
  <si>
    <t>Andere Obstanlagen (Kiwis, Holunder usw.)</t>
  </si>
  <si>
    <t>Other fruit plants (kiwis, elderberries, etc.)</t>
  </si>
  <si>
    <t>Orchards other</t>
  </si>
  <si>
    <t>Obstanlagen aggregiert</t>
  </si>
  <si>
    <t>Fruit plantations aggregated</t>
  </si>
  <si>
    <t>Übrige unproduktive Flächen (z.B. gemulchte Flächen, stark verunkrautete Flächen, Hecken ohne Pufferstreifen)</t>
  </si>
  <si>
    <t>Other unproductive areas (eg mulched areas, heavily weedy areas, hedges without buffer strips)</t>
  </si>
  <si>
    <t>Multiple</t>
  </si>
  <si>
    <t>Other</t>
  </si>
  <si>
    <t>Übrige Flächen innerhalb der LN, nicht beitragsberechtigt</t>
  </si>
  <si>
    <t>Other areas within the LN, not eligible</t>
  </si>
  <si>
    <t>Übrige Flächen innerhalb der LN, beitragsberechtigt</t>
  </si>
  <si>
    <t>Other areas within the LN, entitled to contribute</t>
  </si>
  <si>
    <t>Übrige Flächen mit Dauerkulturen, beitragsberechtigt</t>
  </si>
  <si>
    <t>Other areas with permanent crops, eligible</t>
  </si>
  <si>
    <t>Übrige Flächen mit Dauerkulturen, nicht beitragsberechtigt</t>
  </si>
  <si>
    <t>Other areas with permanent crops, not eligible</t>
  </si>
  <si>
    <t>Übrige Dauerkulturen, beitragsberechtigt, aggregiert</t>
  </si>
  <si>
    <t>Kulturen in ganzjährig geschütztem Anbau, beitragsberechtigt aggregiert</t>
  </si>
  <si>
    <t>Other indoor</t>
  </si>
  <si>
    <t>Pilze in geschütztem Anbau mit festem Fundament</t>
  </si>
  <si>
    <t>Weiden (Heimweiden, übrige Weiden ohne Sömmerungsweiden)</t>
  </si>
  <si>
    <t>Pastures (pastures, other pastures without summer pastures)</t>
  </si>
  <si>
    <t>Gemeinschaftsweiden</t>
  </si>
  <si>
    <t>Übrige Dauerweiden, beitragsberechtigt aggregiert</t>
  </si>
  <si>
    <t>Extensiv genutzte Weiden</t>
  </si>
  <si>
    <t>Extensively used pastures</t>
  </si>
  <si>
    <t>Pasture extensiv</t>
  </si>
  <si>
    <t>Unbefestigte, natürliche Wege</t>
  </si>
  <si>
    <t>non-asphalted, natural paths</t>
  </si>
  <si>
    <t>Paths natural</t>
  </si>
  <si>
    <t>Obstanlagen (Birnen)</t>
  </si>
  <si>
    <t>Fruit plants (pears)</t>
  </si>
  <si>
    <t>Pears</t>
  </si>
  <si>
    <t>Eiweisserbsen zu Futterzwecken</t>
  </si>
  <si>
    <t>protein peas for animal fodder</t>
  </si>
  <si>
    <t>Peas</t>
  </si>
  <si>
    <t>Permakultur</t>
  </si>
  <si>
    <t>Permaculture</t>
  </si>
  <si>
    <t>Übrige Grünfläche (Dauergrünflächen), nicht beitragsberechtigt</t>
  </si>
  <si>
    <t>Remaining green area (permanent green areas), not eligible</t>
  </si>
  <si>
    <t>Permanent green area other</t>
  </si>
  <si>
    <t>Übrige Grünfläche (Dauergrünfläche), beitragsberechtigt</t>
  </si>
  <si>
    <t>Other green area (permanent green area), entitled to contributions</t>
  </si>
  <si>
    <t>Kartoffeln</t>
  </si>
  <si>
    <t>potatoes</t>
  </si>
  <si>
    <t>Potatoes</t>
  </si>
  <si>
    <t>Pflanzkartoffeln (Vertragsanbau)</t>
  </si>
  <si>
    <t>potatoes for planting (by contract)</t>
  </si>
  <si>
    <t>Ölkürbisse</t>
  </si>
  <si>
    <t>oil pumpkins</t>
  </si>
  <si>
    <t>Pumpkin</t>
  </si>
  <si>
    <t>Reis</t>
  </si>
  <si>
    <t>Rice</t>
  </si>
  <si>
    <t>Uferwiesen entlang von Fliessgewässern (ohne Weiden)</t>
  </si>
  <si>
    <t>Riverside meadows along rivers (without pastures)</t>
  </si>
  <si>
    <t>Riverside meadows</t>
  </si>
  <si>
    <t>Roggen</t>
  </si>
  <si>
    <t>rye</t>
  </si>
  <si>
    <t>Rye</t>
  </si>
  <si>
    <t>Sorghum</t>
  </si>
  <si>
    <t>sorghum</t>
  </si>
  <si>
    <t>Hirse</t>
  </si>
  <si>
    <t>millet</t>
  </si>
  <si>
    <t>Soja</t>
  </si>
  <si>
    <t>soy</t>
  </si>
  <si>
    <t>Soy</t>
  </si>
  <si>
    <t>Übrige Spezialkulturen in geschütztem Anbau ohne festes Fundament</t>
  </si>
  <si>
    <t>Other special crops in protected cultivation without firm foundations</t>
  </si>
  <si>
    <t>ProtectedCultivation</t>
  </si>
  <si>
    <t>Gärtnerische Kulturen in geschütztem Anbau ohne festes Fundament</t>
  </si>
  <si>
    <t>Horticultural crops in protected cultivation without firm foundations</t>
  </si>
  <si>
    <t>Übrige Kulturen in geschütztem Anbau ohne festes Fundament, beitragsberechtigt</t>
  </si>
  <si>
    <t>Other crops in protected cultivation without a firm foundation</t>
  </si>
  <si>
    <t>Übrige Kulturen in geschütztem Anbau ohne festes Fundament, nicht beitragsberechtigt</t>
  </si>
  <si>
    <t>Other crops in protected cultivation without firm foundations, not eligible</t>
  </si>
  <si>
    <t>Dinkel</t>
  </si>
  <si>
    <t>Spelt</t>
  </si>
  <si>
    <t>Zuckerrüben</t>
  </si>
  <si>
    <t>Sugar beets</t>
  </si>
  <si>
    <t>Sugar_beets</t>
  </si>
  <si>
    <t>Sommergerste</t>
  </si>
  <si>
    <t>summer barley</t>
  </si>
  <si>
    <t>SummerBarley</t>
  </si>
  <si>
    <t>Summer Barley</t>
  </si>
  <si>
    <t>Sommerraps zur Speiseölgewinnung</t>
  </si>
  <si>
    <t>summer rapeseed for oil production</t>
  </si>
  <si>
    <t>SummerRapeseed</t>
  </si>
  <si>
    <t>Summer Rapeseed</t>
  </si>
  <si>
    <t>Sommerweizen (ohne Futterweizen der Sortenliste swiss granum)</t>
  </si>
  <si>
    <t>summer wheat</t>
  </si>
  <si>
    <t>SummerWheat</t>
  </si>
  <si>
    <t>Summer Wheat</t>
  </si>
  <si>
    <t>Heuwiesen im Sömmerungsgebiet, Übrige Wiesen</t>
  </si>
  <si>
    <t>Hay meadows in the summering area, other meadows</t>
  </si>
  <si>
    <t>Summering Meadow</t>
  </si>
  <si>
    <t>Heuwiesen im Sömmerungsgebiet, Typ extensiv genutzte Wiese</t>
  </si>
  <si>
    <t>Hay meadows in the summering area, type extensively used meadow</t>
  </si>
  <si>
    <t>Summering Meadow Extensive</t>
  </si>
  <si>
    <t>Heuwiesen im Sömmerungsgebiet, Typ wenig intensiv genutzte Wiese</t>
  </si>
  <si>
    <t>Sömmerungsweiden</t>
  </si>
  <si>
    <t>Summer pastures</t>
  </si>
  <si>
    <t>Summering Pasture</t>
  </si>
  <si>
    <t>Sonnenblumen zur Speiseölgewinnung</t>
  </si>
  <si>
    <t>Sunflowers</t>
  </si>
  <si>
    <t>Sonnenblumen als nachwachsender Rohstoff</t>
  </si>
  <si>
    <t>Sunflowers as regrowing ressource</t>
  </si>
  <si>
    <t>Tabak</t>
  </si>
  <si>
    <t>tobacco</t>
  </si>
  <si>
    <t>Tobacco</t>
  </si>
  <si>
    <t>Christbäume</t>
  </si>
  <si>
    <t>Christmas trees</t>
  </si>
  <si>
    <t>TreeCrop</t>
  </si>
  <si>
    <t>Tree Crop</t>
  </si>
  <si>
    <t>Baumschule von Forstpflanzen ausserhalb der Forstzone</t>
  </si>
  <si>
    <t>Nursery of forest plants outside the forest zone</t>
  </si>
  <si>
    <t>Triticale</t>
  </si>
  <si>
    <t>triticale</t>
  </si>
  <si>
    <t>Wheat</t>
  </si>
  <si>
    <t>Einjährige Freilandgemüse, ohne Konservengemüse</t>
  </si>
  <si>
    <t>Annual free-range vegetables, without canned vegetables</t>
  </si>
  <si>
    <t>Freiland-Konservengemüse</t>
  </si>
  <si>
    <t>Ground-canned vegetables</t>
  </si>
  <si>
    <t>Gemüsekulturen in geschütztem Anbau ohne festes Fundament</t>
  </si>
  <si>
    <t>Vegetable crops in protected cultivation without firm foundations</t>
  </si>
  <si>
    <t>Reben</t>
  </si>
  <si>
    <t>vines</t>
  </si>
  <si>
    <t>Vines</t>
  </si>
  <si>
    <t>Rebflächen mit natürlicher Artenvielfalt</t>
  </si>
  <si>
    <t>Vineyards with natural biodiversity</t>
  </si>
  <si>
    <t>Baumschulen von Reben</t>
  </si>
  <si>
    <t>vines nursery</t>
  </si>
  <si>
    <t>Reben (regionsspezifische Biodiversitätsförderflächen)</t>
  </si>
  <si>
    <t>vines (region-specific biodiversity area)</t>
  </si>
  <si>
    <t>Trockenmauern</t>
  </si>
  <si>
    <t>dry stone walls</t>
  </si>
  <si>
    <t>Wassergräben, Tümpel, Teiche</t>
  </si>
  <si>
    <t>Ditches, ponds, ponds</t>
  </si>
  <si>
    <t>Waters</t>
  </si>
  <si>
    <t>Futterweizen gemäss Sortenliste swiss granum</t>
  </si>
  <si>
    <t>Feed wheat according to the list of varieties swiss granum</t>
  </si>
  <si>
    <t>Wheat feed</t>
  </si>
  <si>
    <t>Wintergerste</t>
  </si>
  <si>
    <t>Winter barley</t>
  </si>
  <si>
    <t>WinterBarley</t>
  </si>
  <si>
    <t>Winter Barley</t>
  </si>
  <si>
    <t>Winterraps zur Speiseölgewinnung</t>
  </si>
  <si>
    <t>Winter rape for cooking oil</t>
  </si>
  <si>
    <t>WinterRapeseed</t>
  </si>
  <si>
    <t>Winter Rapeseed</t>
  </si>
  <si>
    <t>Winterraps als nachwachsender Rohstoff</t>
  </si>
  <si>
    <t>Winter rape as a renewable raw material</t>
  </si>
  <si>
    <t>Winterweizen (ohne Futterweizen der Sortenliste swiss granum)</t>
  </si>
  <si>
    <t>Winter wheat (without forage wheat of the variety list swiss granum)</t>
  </si>
  <si>
    <t>WinterWheat</t>
  </si>
  <si>
    <t>Winter Wheat</t>
  </si>
  <si>
    <t>SpecialCrops</t>
  </si>
  <si>
    <t>Mixed crop</t>
  </si>
  <si>
    <t>Greenhause</t>
  </si>
  <si>
    <t>Walls</t>
  </si>
  <si>
    <t>Type</t>
  </si>
  <si>
    <t>Arable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</si>
</sst>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bel_sheet" displayName="label_sheet" ref="A1:I144" totalsRowShown="0">
  <autoFilter ref="A1:I144" xr:uid="{00000000-0009-0000-0100-000001000000}"/>
  <tableColumns count="9">
    <tableColumn id="1" xr3:uid="{00000000-0010-0000-0000-000001000000}" name="GT"/>
    <tableColumn id="2" xr3:uid="{00000000-0010-0000-0000-000002000000}" name="LNF_code"/>
    <tableColumn id="3" xr3:uid="{00000000-0010-0000-0000-000003000000}" name="raw_DE"/>
    <tableColumn id="4" xr3:uid="{00000000-0010-0000-0000-000004000000}" name="raw_ENG"/>
    <tableColumn id="5" xr3:uid="{00000000-0010-0000-0000-000005000000}" name="1st_tier"/>
    <tableColumn id="6" xr3:uid="{00000000-0010-0000-0000-000006000000}" name="2nd_tier"/>
    <tableColumn id="7" xr3:uid="{00000000-0010-0000-0000-000007000000}" name="3rd_tier"/>
    <tableColumn id="8" xr3:uid="{00000000-0010-0000-0000-000008000000}" name="4th_tier_ENG"/>
    <tableColumn id="9" xr3:uid="{00000000-0010-0000-0000-000009000000}" name="categories202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44"/>
  <sheetViews>
    <sheetView workbookViewId="0"/>
  </sheetViews>
  <sheetFormatPr baseColWidth="10" defaultColWidth="8.7265625" defaultRowHeight="14.5" x14ac:dyDescent="0.35"/>
  <cols>
    <col min="1" max="1" width="3.7265625" style="1" bestFit="1" customWidth="1"/>
    <col min="2" max="2" width="11.54296875" style="1" bestFit="1" customWidth="1"/>
    <col min="3" max="3" width="35.26953125" bestFit="1" customWidth="1"/>
    <col min="4" max="4" width="13.26953125" bestFit="1" customWidth="1"/>
    <col min="5" max="5" width="11.1796875" bestFit="1" customWidth="1"/>
    <col min="6" max="6" width="11.7265625" bestFit="1" customWidth="1"/>
    <col min="7" max="7" width="8.1796875" bestFit="1" customWidth="1"/>
    <col min="8" max="8" width="10.81640625" bestFit="1" customWidth="1"/>
    <col min="9" max="9" width="18.7265625" bestFit="1" customWidth="1"/>
    <col min="10" max="10" width="5.453125" style="1" bestFit="1" customWidth="1"/>
    <col min="11" max="11" width="13.54296875" style="1" bestFit="1" customWidth="1"/>
    <col min="12" max="12" width="13.54296875" bestFit="1" customWidth="1"/>
  </cols>
  <sheetData>
    <row r="1" spans="1:12" ht="18.75" customHeigh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</row>
    <row r="2" spans="1:12" ht="18.75" customHeight="1" x14ac:dyDescent="0.35">
      <c r="A2" s="3">
        <v>1</v>
      </c>
      <c r="B2" s="3">
        <v>501</v>
      </c>
      <c r="C2" t="s">
        <v>307</v>
      </c>
      <c r="D2" t="s">
        <v>308</v>
      </c>
      <c r="E2" t="s">
        <v>14</v>
      </c>
      <c r="F2" t="s">
        <v>25</v>
      </c>
      <c r="G2" t="s">
        <v>45</v>
      </c>
      <c r="H2" t="s">
        <v>309</v>
      </c>
      <c r="I2" t="s">
        <v>310</v>
      </c>
      <c r="J2" s="3">
        <v>501</v>
      </c>
      <c r="K2" s="3">
        <v>84139</v>
      </c>
      <c r="L2" t="b">
        <f t="shared" ref="L2:L33" si="0">J2=B2</f>
        <v>1</v>
      </c>
    </row>
    <row r="3" spans="1:12" ht="18.75" customHeight="1" x14ac:dyDescent="0.35">
      <c r="A3" s="3">
        <v>2</v>
      </c>
      <c r="B3" s="3">
        <v>502</v>
      </c>
      <c r="C3" t="s">
        <v>368</v>
      </c>
      <c r="D3" t="s">
        <v>369</v>
      </c>
      <c r="E3" t="s">
        <v>14</v>
      </c>
      <c r="F3" t="s">
        <v>25</v>
      </c>
      <c r="G3" t="s">
        <v>45</v>
      </c>
      <c r="H3" t="s">
        <v>370</v>
      </c>
      <c r="I3" t="s">
        <v>371</v>
      </c>
      <c r="J3" s="3">
        <v>502</v>
      </c>
      <c r="K3" s="3">
        <v>2640192</v>
      </c>
      <c r="L3" t="b">
        <f t="shared" si="0"/>
        <v>1</v>
      </c>
    </row>
    <row r="4" spans="1:12" ht="18.75" customHeight="1" x14ac:dyDescent="0.35">
      <c r="A4" s="3">
        <v>3</v>
      </c>
      <c r="B4" s="3">
        <v>504</v>
      </c>
      <c r="C4" t="s">
        <v>220</v>
      </c>
      <c r="D4" t="s">
        <v>221</v>
      </c>
      <c r="E4" t="s">
        <v>14</v>
      </c>
      <c r="F4" t="s">
        <v>25</v>
      </c>
      <c r="G4" t="s">
        <v>45</v>
      </c>
      <c r="H4" t="s">
        <v>222</v>
      </c>
      <c r="I4" t="s">
        <v>222</v>
      </c>
      <c r="J4" s="3">
        <v>504</v>
      </c>
      <c r="K4" s="3">
        <v>277793</v>
      </c>
      <c r="L4" t="b">
        <f t="shared" si="0"/>
        <v>1</v>
      </c>
    </row>
    <row r="5" spans="1:12" ht="18.75" customHeight="1" x14ac:dyDescent="0.35">
      <c r="A5" s="3">
        <v>4</v>
      </c>
      <c r="B5" s="3">
        <v>505</v>
      </c>
      <c r="C5" t="s">
        <v>342</v>
      </c>
      <c r="D5" t="s">
        <v>343</v>
      </c>
      <c r="E5" t="s">
        <v>14</v>
      </c>
      <c r="F5" t="s">
        <v>25</v>
      </c>
      <c r="G5" t="s">
        <v>45</v>
      </c>
      <c r="H5" t="s">
        <v>344</v>
      </c>
      <c r="I5" t="s">
        <v>344</v>
      </c>
      <c r="J5" s="3">
        <v>505</v>
      </c>
      <c r="K5" s="3">
        <v>705906</v>
      </c>
      <c r="L5" t="b">
        <f t="shared" si="0"/>
        <v>1</v>
      </c>
    </row>
    <row r="6" spans="1:12" ht="18.75" customHeight="1" x14ac:dyDescent="0.35">
      <c r="A6" s="3">
        <v>5</v>
      </c>
      <c r="B6" s="3">
        <v>506</v>
      </c>
      <c r="C6" t="s">
        <v>128</v>
      </c>
      <c r="D6" t="s">
        <v>129</v>
      </c>
      <c r="E6" t="s">
        <v>14</v>
      </c>
      <c r="F6" t="s">
        <v>25</v>
      </c>
      <c r="G6" t="s">
        <v>45</v>
      </c>
      <c r="H6" t="s">
        <v>127</v>
      </c>
      <c r="I6" t="s">
        <v>127</v>
      </c>
      <c r="J6" s="3">
        <v>506</v>
      </c>
      <c r="K6" s="3">
        <v>23854</v>
      </c>
      <c r="L6" t="b">
        <f t="shared" si="0"/>
        <v>1</v>
      </c>
    </row>
    <row r="7" spans="1:12" ht="18.75" customHeight="1" x14ac:dyDescent="0.35">
      <c r="A7" s="3">
        <v>6</v>
      </c>
      <c r="B7" s="3">
        <v>507</v>
      </c>
      <c r="C7" t="s">
        <v>365</v>
      </c>
      <c r="D7" t="s">
        <v>366</v>
      </c>
      <c r="E7" t="s">
        <v>14</v>
      </c>
      <c r="F7" t="s">
        <v>25</v>
      </c>
      <c r="G7" t="s">
        <v>45</v>
      </c>
      <c r="H7" t="s">
        <v>344</v>
      </c>
      <c r="I7" t="s">
        <v>344</v>
      </c>
      <c r="J7" s="3">
        <v>507</v>
      </c>
      <c r="K7" s="3">
        <v>923493</v>
      </c>
      <c r="L7" t="b">
        <f t="shared" si="0"/>
        <v>1</v>
      </c>
    </row>
    <row r="8" spans="1:12" ht="18.75" customHeight="1" x14ac:dyDescent="0.35">
      <c r="A8" s="3">
        <v>7</v>
      </c>
      <c r="B8" s="3">
        <v>508</v>
      </c>
      <c r="C8" t="s">
        <v>173</v>
      </c>
      <c r="D8" t="s">
        <v>174</v>
      </c>
      <c r="E8" t="s">
        <v>14</v>
      </c>
      <c r="F8" t="s">
        <v>25</v>
      </c>
      <c r="G8" t="s">
        <v>175</v>
      </c>
      <c r="H8" t="s">
        <v>176</v>
      </c>
      <c r="I8" t="s">
        <v>177</v>
      </c>
      <c r="J8" s="3">
        <v>508</v>
      </c>
      <c r="K8" s="3">
        <v>1542172</v>
      </c>
      <c r="L8" t="b">
        <f t="shared" si="0"/>
        <v>1</v>
      </c>
    </row>
    <row r="9" spans="1:12" ht="18.75" customHeight="1" x14ac:dyDescent="0.35">
      <c r="A9" s="3">
        <v>8</v>
      </c>
      <c r="B9" s="3">
        <v>509</v>
      </c>
      <c r="C9" t="s">
        <v>278</v>
      </c>
      <c r="D9" t="s">
        <v>279</v>
      </c>
      <c r="E9" t="s">
        <v>14</v>
      </c>
      <c r="F9" t="s">
        <v>25</v>
      </c>
      <c r="G9" t="s">
        <v>45</v>
      </c>
      <c r="H9" t="s">
        <v>279</v>
      </c>
      <c r="I9" t="s">
        <v>279</v>
      </c>
      <c r="J9" s="3">
        <v>509</v>
      </c>
      <c r="K9" s="3">
        <v>6395</v>
      </c>
      <c r="L9" t="b">
        <f t="shared" si="0"/>
        <v>1</v>
      </c>
    </row>
    <row r="10" spans="1:12" ht="18.75" customHeight="1" x14ac:dyDescent="0.35">
      <c r="A10" s="3">
        <v>9</v>
      </c>
      <c r="B10" s="3">
        <v>511</v>
      </c>
      <c r="C10" t="s">
        <v>84</v>
      </c>
      <c r="D10" t="s">
        <v>85</v>
      </c>
      <c r="E10" t="s">
        <v>14</v>
      </c>
      <c r="F10" t="s">
        <v>25</v>
      </c>
      <c r="G10" t="s">
        <v>45</v>
      </c>
      <c r="H10" t="s">
        <v>86</v>
      </c>
      <c r="I10" t="s">
        <v>87</v>
      </c>
      <c r="J10" s="3">
        <v>511</v>
      </c>
      <c r="K10" s="3">
        <v>38234</v>
      </c>
      <c r="L10" t="b">
        <f t="shared" si="0"/>
        <v>1</v>
      </c>
    </row>
    <row r="11" spans="1:12" ht="18.75" customHeight="1" x14ac:dyDescent="0.35">
      <c r="A11" s="3">
        <v>10</v>
      </c>
      <c r="B11" s="3">
        <v>512</v>
      </c>
      <c r="C11" t="s">
        <v>315</v>
      </c>
      <c r="D11" t="s">
        <v>316</v>
      </c>
      <c r="E11" t="s">
        <v>14</v>
      </c>
      <c r="F11" t="s">
        <v>25</v>
      </c>
      <c r="G11" t="s">
        <v>45</v>
      </c>
      <c r="H11" t="s">
        <v>317</v>
      </c>
      <c r="I11" t="s">
        <v>318</v>
      </c>
      <c r="J11" s="3">
        <v>512</v>
      </c>
      <c r="K11" s="3">
        <v>105769</v>
      </c>
      <c r="L11" t="b">
        <f t="shared" si="0"/>
        <v>1</v>
      </c>
    </row>
    <row r="12" spans="1:12" ht="18.75" customHeight="1" x14ac:dyDescent="0.35">
      <c r="A12" s="3">
        <v>11</v>
      </c>
      <c r="B12" s="3">
        <v>513</v>
      </c>
      <c r="C12" t="s">
        <v>378</v>
      </c>
      <c r="D12" t="s">
        <v>379</v>
      </c>
      <c r="E12" t="s">
        <v>14</v>
      </c>
      <c r="F12" t="s">
        <v>25</v>
      </c>
      <c r="G12" t="s">
        <v>45</v>
      </c>
      <c r="H12" t="s">
        <v>380</v>
      </c>
      <c r="I12" t="s">
        <v>381</v>
      </c>
      <c r="J12" s="3">
        <v>513</v>
      </c>
      <c r="K12" s="3">
        <v>6931192</v>
      </c>
      <c r="L12" t="b">
        <f t="shared" si="0"/>
        <v>1</v>
      </c>
    </row>
    <row r="13" spans="1:12" ht="18.75" customHeight="1" x14ac:dyDescent="0.35">
      <c r="A13" s="3">
        <v>12</v>
      </c>
      <c r="B13" s="3">
        <v>514</v>
      </c>
      <c r="C13" t="s">
        <v>283</v>
      </c>
      <c r="D13" t="s">
        <v>284</v>
      </c>
      <c r="E13" t="s">
        <v>14</v>
      </c>
      <c r="F13" t="s">
        <v>25</v>
      </c>
      <c r="G13" t="s">
        <v>45</v>
      </c>
      <c r="H13" t="s">
        <v>285</v>
      </c>
      <c r="I13" t="s">
        <v>285</v>
      </c>
      <c r="J13" s="3">
        <v>514</v>
      </c>
      <c r="K13" s="3">
        <v>180045</v>
      </c>
      <c r="L13" t="b">
        <f t="shared" si="0"/>
        <v>1</v>
      </c>
    </row>
    <row r="14" spans="1:12" ht="18.75" customHeight="1" x14ac:dyDescent="0.35">
      <c r="A14" s="3">
        <v>13</v>
      </c>
      <c r="B14" s="3">
        <v>515</v>
      </c>
      <c r="C14" t="s">
        <v>130</v>
      </c>
      <c r="D14" t="s">
        <v>131</v>
      </c>
      <c r="E14" t="s">
        <v>14</v>
      </c>
      <c r="F14" t="s">
        <v>25</v>
      </c>
      <c r="G14" t="s">
        <v>45</v>
      </c>
      <c r="H14" t="s">
        <v>127</v>
      </c>
      <c r="I14" t="s">
        <v>127</v>
      </c>
      <c r="J14" s="3">
        <v>515</v>
      </c>
      <c r="K14" s="3">
        <v>5779</v>
      </c>
      <c r="L14" t="b">
        <f t="shared" si="0"/>
        <v>1</v>
      </c>
    </row>
    <row r="15" spans="1:12" ht="18.75" customHeight="1" x14ac:dyDescent="0.35">
      <c r="A15" s="3">
        <v>14</v>
      </c>
      <c r="B15" s="3">
        <v>516</v>
      </c>
      <c r="C15" t="s">
        <v>302</v>
      </c>
      <c r="D15" t="s">
        <v>303</v>
      </c>
      <c r="E15" t="s">
        <v>14</v>
      </c>
      <c r="F15" t="s">
        <v>25</v>
      </c>
      <c r="G15" t="s">
        <v>45</v>
      </c>
      <c r="H15" t="s">
        <v>303</v>
      </c>
      <c r="I15" t="s">
        <v>303</v>
      </c>
      <c r="J15" s="3">
        <v>516</v>
      </c>
      <c r="K15" s="3">
        <v>788241</v>
      </c>
      <c r="L15" t="b">
        <f t="shared" si="0"/>
        <v>1</v>
      </c>
    </row>
    <row r="16" spans="1:12" ht="18.75" customHeight="1" x14ac:dyDescent="0.35">
      <c r="A16" s="3">
        <v>15</v>
      </c>
      <c r="B16" s="3">
        <v>519</v>
      </c>
      <c r="C16" t="s">
        <v>178</v>
      </c>
      <c r="D16" t="s">
        <v>179</v>
      </c>
      <c r="E16" t="s">
        <v>14</v>
      </c>
      <c r="F16" t="s">
        <v>25</v>
      </c>
      <c r="G16" t="s">
        <v>175</v>
      </c>
      <c r="H16" t="s">
        <v>176</v>
      </c>
      <c r="I16" t="s">
        <v>180</v>
      </c>
      <c r="J16" s="3">
        <v>519</v>
      </c>
      <c r="K16" s="3">
        <v>18647</v>
      </c>
      <c r="L16" t="b">
        <f t="shared" si="0"/>
        <v>1</v>
      </c>
    </row>
    <row r="17" spans="1:12" ht="18.75" customHeight="1" x14ac:dyDescent="0.35">
      <c r="A17" s="3">
        <v>16</v>
      </c>
      <c r="B17" s="3">
        <v>521</v>
      </c>
      <c r="C17" t="s">
        <v>181</v>
      </c>
      <c r="D17" t="s">
        <v>182</v>
      </c>
      <c r="E17" t="s">
        <v>14</v>
      </c>
      <c r="F17" t="s">
        <v>25</v>
      </c>
      <c r="G17" t="s">
        <v>175</v>
      </c>
      <c r="H17" t="s">
        <v>176</v>
      </c>
      <c r="I17" t="s">
        <v>183</v>
      </c>
      <c r="J17" s="3">
        <v>521</v>
      </c>
      <c r="K17" s="3">
        <v>4602596</v>
      </c>
      <c r="L17" t="b">
        <f t="shared" si="0"/>
        <v>1</v>
      </c>
    </row>
    <row r="18" spans="1:12" ht="18.75" customHeight="1" x14ac:dyDescent="0.35">
      <c r="A18" s="3">
        <v>17</v>
      </c>
      <c r="B18" s="3">
        <v>522</v>
      </c>
      <c r="C18" t="s">
        <v>304</v>
      </c>
      <c r="D18" t="s">
        <v>305</v>
      </c>
      <c r="E18" t="s">
        <v>14</v>
      </c>
      <c r="F18" t="s">
        <v>25</v>
      </c>
      <c r="G18" t="s">
        <v>26</v>
      </c>
      <c r="H18" t="s">
        <v>306</v>
      </c>
      <c r="I18" t="s">
        <v>306</v>
      </c>
      <c r="J18" s="3">
        <v>522</v>
      </c>
      <c r="K18" s="3">
        <v>1554675</v>
      </c>
      <c r="L18" t="b">
        <f t="shared" si="0"/>
        <v>1</v>
      </c>
    </row>
    <row r="19" spans="1:12" ht="18.75" customHeight="1" x14ac:dyDescent="0.35">
      <c r="A19" s="3">
        <v>18</v>
      </c>
      <c r="B19" s="3">
        <v>523</v>
      </c>
      <c r="C19" t="s">
        <v>23</v>
      </c>
      <c r="D19" t="s">
        <v>24</v>
      </c>
      <c r="E19" t="s">
        <v>14</v>
      </c>
      <c r="F19" t="s">
        <v>25</v>
      </c>
      <c r="G19" t="s">
        <v>26</v>
      </c>
      <c r="H19" t="s">
        <v>27</v>
      </c>
      <c r="I19" t="s">
        <v>27</v>
      </c>
      <c r="J19" s="3">
        <v>523</v>
      </c>
      <c r="K19" s="3">
        <v>34979</v>
      </c>
      <c r="L19" t="b">
        <f t="shared" si="0"/>
        <v>1</v>
      </c>
    </row>
    <row r="20" spans="1:12" ht="18.75" customHeight="1" x14ac:dyDescent="0.35">
      <c r="A20" s="3">
        <v>19</v>
      </c>
      <c r="B20" s="3">
        <v>524</v>
      </c>
      <c r="C20" t="s">
        <v>270</v>
      </c>
      <c r="D20" t="s">
        <v>271</v>
      </c>
      <c r="E20" t="s">
        <v>14</v>
      </c>
      <c r="F20" t="s">
        <v>25</v>
      </c>
      <c r="G20" t="s">
        <v>26</v>
      </c>
      <c r="H20" t="s">
        <v>272</v>
      </c>
      <c r="I20" t="s">
        <v>272</v>
      </c>
      <c r="J20" s="3">
        <v>524</v>
      </c>
      <c r="K20" s="3">
        <v>917989</v>
      </c>
      <c r="L20" t="b">
        <f t="shared" si="0"/>
        <v>1</v>
      </c>
    </row>
    <row r="21" spans="1:12" ht="18.75" customHeight="1" x14ac:dyDescent="0.35">
      <c r="A21" s="3">
        <v>20</v>
      </c>
      <c r="B21" s="3">
        <v>525</v>
      </c>
      <c r="C21" t="s">
        <v>273</v>
      </c>
      <c r="D21" t="s">
        <v>274</v>
      </c>
      <c r="E21" t="s">
        <v>14</v>
      </c>
      <c r="F21" t="s">
        <v>25</v>
      </c>
      <c r="G21" t="s">
        <v>26</v>
      </c>
      <c r="H21" t="s">
        <v>272</v>
      </c>
      <c r="I21" t="s">
        <v>272</v>
      </c>
      <c r="J21" s="3">
        <v>525</v>
      </c>
      <c r="K21" s="3">
        <v>148652</v>
      </c>
      <c r="L21" t="b">
        <f t="shared" si="0"/>
        <v>1</v>
      </c>
    </row>
    <row r="22" spans="1:12" ht="18.75" customHeight="1" x14ac:dyDescent="0.35">
      <c r="A22" s="3">
        <v>21</v>
      </c>
      <c r="B22" s="3">
        <v>526</v>
      </c>
      <c r="C22" t="s">
        <v>311</v>
      </c>
      <c r="D22" t="s">
        <v>312</v>
      </c>
      <c r="E22" t="s">
        <v>14</v>
      </c>
      <c r="F22" t="s">
        <v>25</v>
      </c>
      <c r="G22" t="s">
        <v>26</v>
      </c>
      <c r="H22" t="s">
        <v>313</v>
      </c>
      <c r="I22" t="s">
        <v>314</v>
      </c>
      <c r="J22" s="3">
        <v>526</v>
      </c>
      <c r="K22" s="3">
        <v>9426</v>
      </c>
      <c r="L22" t="b">
        <f t="shared" si="0"/>
        <v>1</v>
      </c>
    </row>
    <row r="23" spans="1:12" ht="18.75" customHeight="1" x14ac:dyDescent="0.35">
      <c r="A23" s="3">
        <v>22</v>
      </c>
      <c r="B23" s="3">
        <v>527</v>
      </c>
      <c r="C23" t="s">
        <v>372</v>
      </c>
      <c r="D23" t="s">
        <v>373</v>
      </c>
      <c r="E23" t="s">
        <v>14</v>
      </c>
      <c r="F23" t="s">
        <v>25</v>
      </c>
      <c r="G23" t="s">
        <v>26</v>
      </c>
      <c r="H23" t="s">
        <v>374</v>
      </c>
      <c r="I23" t="s">
        <v>375</v>
      </c>
      <c r="J23" s="3">
        <v>527</v>
      </c>
      <c r="K23" s="3">
        <v>2453089</v>
      </c>
      <c r="L23" t="b">
        <f t="shared" si="0"/>
        <v>1</v>
      </c>
    </row>
    <row r="24" spans="1:12" ht="18.75" customHeight="1" x14ac:dyDescent="0.35">
      <c r="A24" s="3">
        <v>23</v>
      </c>
      <c r="B24" s="3">
        <v>528</v>
      </c>
      <c r="C24" t="s">
        <v>290</v>
      </c>
      <c r="D24" t="s">
        <v>291</v>
      </c>
      <c r="E24" t="s">
        <v>14</v>
      </c>
      <c r="F24" t="s">
        <v>25</v>
      </c>
      <c r="G24" t="s">
        <v>26</v>
      </c>
      <c r="H24" t="s">
        <v>292</v>
      </c>
      <c r="I24" t="s">
        <v>292</v>
      </c>
      <c r="J24" s="3">
        <v>528</v>
      </c>
      <c r="K24" s="3">
        <v>285505</v>
      </c>
      <c r="L24" t="b">
        <f t="shared" si="0"/>
        <v>1</v>
      </c>
    </row>
    <row r="25" spans="1:12" ht="18.75" customHeight="1" x14ac:dyDescent="0.35">
      <c r="A25" s="3">
        <v>24</v>
      </c>
      <c r="B25" s="3">
        <v>531</v>
      </c>
      <c r="C25" t="s">
        <v>329</v>
      </c>
      <c r="D25" t="s">
        <v>330</v>
      </c>
      <c r="E25" t="s">
        <v>14</v>
      </c>
      <c r="F25" t="s">
        <v>25</v>
      </c>
      <c r="G25" t="s">
        <v>26</v>
      </c>
      <c r="H25" t="s">
        <v>330</v>
      </c>
      <c r="I25" t="s">
        <v>330</v>
      </c>
      <c r="J25" s="3">
        <v>531</v>
      </c>
      <c r="K25" s="3">
        <v>513134</v>
      </c>
      <c r="L25" t="b">
        <f t="shared" si="0"/>
        <v>1</v>
      </c>
    </row>
    <row r="26" spans="1:12" ht="18.75" customHeight="1" x14ac:dyDescent="0.35">
      <c r="A26" s="3">
        <v>25</v>
      </c>
      <c r="B26" s="3">
        <v>534</v>
      </c>
      <c r="C26" t="s">
        <v>165</v>
      </c>
      <c r="D26" t="s">
        <v>166</v>
      </c>
      <c r="E26" t="s">
        <v>14</v>
      </c>
      <c r="F26" t="s">
        <v>25</v>
      </c>
      <c r="G26" t="s">
        <v>26</v>
      </c>
      <c r="H26" t="s">
        <v>167</v>
      </c>
      <c r="I26" t="s">
        <v>167</v>
      </c>
      <c r="J26" s="3">
        <v>534</v>
      </c>
      <c r="K26" s="3">
        <v>20302</v>
      </c>
      <c r="L26" t="b">
        <f t="shared" si="0"/>
        <v>1</v>
      </c>
    </row>
    <row r="27" spans="1:12" ht="18.75" customHeight="1" x14ac:dyDescent="0.35">
      <c r="A27" s="3">
        <v>26</v>
      </c>
      <c r="B27" s="3">
        <v>535</v>
      </c>
      <c r="C27" t="s">
        <v>154</v>
      </c>
      <c r="D27" t="s">
        <v>155</v>
      </c>
      <c r="E27" t="s">
        <v>14</v>
      </c>
      <c r="F27" t="s">
        <v>25</v>
      </c>
      <c r="G27" t="s">
        <v>26</v>
      </c>
      <c r="H27" t="s">
        <v>151</v>
      </c>
      <c r="I27" t="s">
        <v>151</v>
      </c>
      <c r="L27" t="b">
        <f t="shared" si="0"/>
        <v>0</v>
      </c>
    </row>
    <row r="28" spans="1:12" ht="18.75" customHeight="1" x14ac:dyDescent="0.35">
      <c r="A28" s="3">
        <v>27</v>
      </c>
      <c r="B28" s="3">
        <v>536</v>
      </c>
      <c r="C28" t="s">
        <v>102</v>
      </c>
      <c r="D28" t="s">
        <v>103</v>
      </c>
      <c r="E28" t="s">
        <v>14</v>
      </c>
      <c r="F28" t="s">
        <v>25</v>
      </c>
      <c r="G28" t="s">
        <v>26</v>
      </c>
      <c r="H28" t="s">
        <v>104</v>
      </c>
      <c r="I28" t="s">
        <v>104</v>
      </c>
      <c r="J28" s="3">
        <v>536</v>
      </c>
      <c r="K28" s="3">
        <v>75621</v>
      </c>
      <c r="L28" t="b">
        <f t="shared" si="0"/>
        <v>1</v>
      </c>
    </row>
    <row r="29" spans="1:12" ht="18.75" customHeight="1" x14ac:dyDescent="0.35">
      <c r="A29" s="3">
        <v>28</v>
      </c>
      <c r="B29" s="3">
        <v>537</v>
      </c>
      <c r="C29" t="s">
        <v>260</v>
      </c>
      <c r="D29" t="s">
        <v>261</v>
      </c>
      <c r="E29" t="s">
        <v>14</v>
      </c>
      <c r="F29" t="s">
        <v>25</v>
      </c>
      <c r="G29" t="s">
        <v>26</v>
      </c>
      <c r="H29" t="s">
        <v>262</v>
      </c>
      <c r="I29" t="s">
        <v>262</v>
      </c>
      <c r="J29" s="3">
        <v>537</v>
      </c>
      <c r="K29" s="3">
        <v>255364</v>
      </c>
      <c r="L29" t="b">
        <f t="shared" si="0"/>
        <v>1</v>
      </c>
    </row>
    <row r="30" spans="1:12" ht="18.75" customHeight="1" x14ac:dyDescent="0.35">
      <c r="A30" s="3">
        <v>29</v>
      </c>
      <c r="B30" s="3">
        <v>538</v>
      </c>
      <c r="C30" t="s">
        <v>170</v>
      </c>
      <c r="D30" t="s">
        <v>171</v>
      </c>
      <c r="E30" t="s">
        <v>14</v>
      </c>
      <c r="F30" t="s">
        <v>25</v>
      </c>
      <c r="G30" t="s">
        <v>26</v>
      </c>
      <c r="H30" t="s">
        <v>172</v>
      </c>
      <c r="I30" t="s">
        <v>172</v>
      </c>
      <c r="J30" s="3">
        <v>538</v>
      </c>
      <c r="K30" s="3">
        <v>33493</v>
      </c>
      <c r="L30" t="b">
        <f t="shared" si="0"/>
        <v>1</v>
      </c>
    </row>
    <row r="31" spans="1:12" ht="18.75" customHeight="1" x14ac:dyDescent="0.35">
      <c r="A31" s="3">
        <v>30</v>
      </c>
      <c r="B31" s="3">
        <v>539</v>
      </c>
      <c r="C31" t="s">
        <v>275</v>
      </c>
      <c r="D31" t="s">
        <v>276</v>
      </c>
      <c r="E31" t="s">
        <v>14</v>
      </c>
      <c r="F31" t="s">
        <v>25</v>
      </c>
      <c r="G31" t="s">
        <v>52</v>
      </c>
      <c r="H31" t="s">
        <v>277</v>
      </c>
      <c r="I31" t="s">
        <v>277</v>
      </c>
      <c r="J31" s="3">
        <v>539</v>
      </c>
      <c r="K31" s="3">
        <v>12404</v>
      </c>
      <c r="L31" t="b">
        <f t="shared" si="0"/>
        <v>1</v>
      </c>
    </row>
    <row r="32" spans="1:12" ht="18.75" customHeight="1" x14ac:dyDescent="0.35">
      <c r="A32" s="3">
        <v>31</v>
      </c>
      <c r="B32" s="3">
        <v>541</v>
      </c>
      <c r="C32" t="s">
        <v>333</v>
      </c>
      <c r="D32" t="s">
        <v>334</v>
      </c>
      <c r="E32" t="s">
        <v>14</v>
      </c>
      <c r="F32" t="s">
        <v>25</v>
      </c>
      <c r="G32" t="s">
        <v>26</v>
      </c>
      <c r="H32" t="s">
        <v>335</v>
      </c>
      <c r="I32" t="s">
        <v>335</v>
      </c>
      <c r="J32" s="3">
        <v>541</v>
      </c>
      <c r="K32" s="3">
        <v>39083</v>
      </c>
      <c r="L32" t="b">
        <f t="shared" si="0"/>
        <v>1</v>
      </c>
    </row>
    <row r="33" spans="1:12" ht="18.75" customHeight="1" x14ac:dyDescent="0.35">
      <c r="A33" s="3">
        <v>32</v>
      </c>
      <c r="B33" s="3">
        <v>542</v>
      </c>
      <c r="C33" t="s">
        <v>288</v>
      </c>
      <c r="D33" t="s">
        <v>289</v>
      </c>
      <c r="E33" t="s">
        <v>14</v>
      </c>
      <c r="F33" t="s">
        <v>25</v>
      </c>
      <c r="G33" t="s">
        <v>175</v>
      </c>
      <c r="H33" t="s">
        <v>286</v>
      </c>
      <c r="I33" t="s">
        <v>286</v>
      </c>
      <c r="J33" s="3">
        <v>542</v>
      </c>
      <c r="K33" s="3">
        <v>28091</v>
      </c>
      <c r="L33" t="b">
        <f t="shared" si="0"/>
        <v>1</v>
      </c>
    </row>
    <row r="34" spans="1:12" ht="18.75" customHeight="1" x14ac:dyDescent="0.35">
      <c r="A34" s="3">
        <v>33</v>
      </c>
      <c r="B34" s="3">
        <v>543</v>
      </c>
      <c r="C34" t="s">
        <v>125</v>
      </c>
      <c r="D34" t="s">
        <v>126</v>
      </c>
      <c r="E34" t="s">
        <v>14</v>
      </c>
      <c r="F34" t="s">
        <v>25</v>
      </c>
      <c r="G34" t="s">
        <v>45</v>
      </c>
      <c r="H34" t="s">
        <v>127</v>
      </c>
      <c r="I34" t="s">
        <v>127</v>
      </c>
      <c r="J34" s="3">
        <v>543</v>
      </c>
      <c r="K34" s="3">
        <v>59176</v>
      </c>
      <c r="L34" t="b">
        <f t="shared" ref="L34:L65" si="1">J34=B34</f>
        <v>1</v>
      </c>
    </row>
    <row r="35" spans="1:12" ht="18.75" customHeight="1" x14ac:dyDescent="0.35">
      <c r="A35" s="3">
        <v>34</v>
      </c>
      <c r="B35" s="3">
        <v>544</v>
      </c>
      <c r="C35" t="s">
        <v>168</v>
      </c>
      <c r="D35" t="s">
        <v>169</v>
      </c>
      <c r="E35" t="s">
        <v>14</v>
      </c>
      <c r="F35" t="s">
        <v>25</v>
      </c>
      <c r="G35" t="s">
        <v>26</v>
      </c>
      <c r="H35" t="s">
        <v>167</v>
      </c>
      <c r="I35" t="s">
        <v>167</v>
      </c>
      <c r="J35" s="3">
        <v>544</v>
      </c>
      <c r="K35" s="3">
        <v>1782</v>
      </c>
      <c r="L35" t="b">
        <f t="shared" si="1"/>
        <v>1</v>
      </c>
    </row>
    <row r="36" spans="1:12" ht="18.75" customHeight="1" x14ac:dyDescent="0.35">
      <c r="A36" s="3">
        <v>35</v>
      </c>
      <c r="B36" s="3">
        <v>545</v>
      </c>
      <c r="C36" t="s">
        <v>345</v>
      </c>
      <c r="D36" t="s">
        <v>346</v>
      </c>
      <c r="E36" t="s">
        <v>14</v>
      </c>
      <c r="F36" t="s">
        <v>25</v>
      </c>
      <c r="G36" t="s">
        <v>52</v>
      </c>
      <c r="H36" t="s">
        <v>137</v>
      </c>
      <c r="I36" t="s">
        <v>137</v>
      </c>
      <c r="J36" s="3">
        <v>545</v>
      </c>
      <c r="K36" s="3">
        <v>1034336</v>
      </c>
      <c r="L36" t="b">
        <f t="shared" si="1"/>
        <v>1</v>
      </c>
    </row>
    <row r="37" spans="1:12" ht="18.75" customHeight="1" x14ac:dyDescent="0.35">
      <c r="A37" s="3">
        <v>36</v>
      </c>
      <c r="B37" s="3">
        <v>546</v>
      </c>
      <c r="C37" t="s">
        <v>347</v>
      </c>
      <c r="D37" t="s">
        <v>348</v>
      </c>
      <c r="E37" t="s">
        <v>14</v>
      </c>
      <c r="F37" t="s">
        <v>25</v>
      </c>
      <c r="G37" t="s">
        <v>52</v>
      </c>
      <c r="H37" t="s">
        <v>137</v>
      </c>
      <c r="I37" t="s">
        <v>137</v>
      </c>
      <c r="J37" s="3">
        <v>546</v>
      </c>
      <c r="K37" s="3">
        <v>171124</v>
      </c>
      <c r="L37" t="b">
        <f t="shared" si="1"/>
        <v>1</v>
      </c>
    </row>
    <row r="38" spans="1:12" ht="18.75" customHeight="1" x14ac:dyDescent="0.35">
      <c r="A38" s="3">
        <v>37</v>
      </c>
      <c r="B38" s="3">
        <v>547</v>
      </c>
      <c r="C38" t="s">
        <v>50</v>
      </c>
      <c r="D38" t="s">
        <v>51</v>
      </c>
      <c r="E38" t="s">
        <v>14</v>
      </c>
      <c r="F38" t="s">
        <v>25</v>
      </c>
      <c r="G38" t="s">
        <v>52</v>
      </c>
      <c r="H38" t="s">
        <v>53</v>
      </c>
      <c r="I38" t="s">
        <v>53</v>
      </c>
      <c r="J38" s="3">
        <v>547</v>
      </c>
      <c r="K38" s="3">
        <v>38028</v>
      </c>
      <c r="L38" t="b">
        <f t="shared" si="1"/>
        <v>1</v>
      </c>
    </row>
    <row r="39" spans="1:12" ht="18.75" customHeight="1" x14ac:dyDescent="0.35">
      <c r="A39" s="3">
        <v>38</v>
      </c>
      <c r="B39" s="3">
        <v>548</v>
      </c>
      <c r="C39" t="s">
        <v>43</v>
      </c>
      <c r="D39" t="s">
        <v>44</v>
      </c>
      <c r="E39" t="s">
        <v>14</v>
      </c>
      <c r="F39" t="s">
        <v>25</v>
      </c>
      <c r="G39" t="s">
        <v>45</v>
      </c>
      <c r="H39" t="s">
        <v>46</v>
      </c>
      <c r="I39" t="s">
        <v>46</v>
      </c>
      <c r="J39" s="3">
        <v>548</v>
      </c>
      <c r="K39" s="3">
        <v>8219</v>
      </c>
      <c r="L39" t="b">
        <f t="shared" si="1"/>
        <v>1</v>
      </c>
    </row>
    <row r="40" spans="1:12" ht="18.75" customHeight="1" x14ac:dyDescent="0.35">
      <c r="A40" s="3">
        <v>39</v>
      </c>
      <c r="B40" s="3">
        <v>549</v>
      </c>
      <c r="C40" t="s">
        <v>286</v>
      </c>
      <c r="D40" t="s">
        <v>287</v>
      </c>
      <c r="E40" t="s">
        <v>14</v>
      </c>
      <c r="F40" t="s">
        <v>25</v>
      </c>
      <c r="G40" t="s">
        <v>175</v>
      </c>
      <c r="H40" t="s">
        <v>286</v>
      </c>
      <c r="I40" t="s">
        <v>286</v>
      </c>
      <c r="J40" s="3">
        <v>549</v>
      </c>
      <c r="K40" s="3">
        <v>28751</v>
      </c>
      <c r="L40" t="b">
        <f t="shared" si="1"/>
        <v>1</v>
      </c>
    </row>
    <row r="41" spans="1:12" ht="18.75" customHeight="1" x14ac:dyDescent="0.35">
      <c r="A41" s="3">
        <v>40</v>
      </c>
      <c r="B41" s="3">
        <v>551</v>
      </c>
      <c r="C41" t="s">
        <v>31</v>
      </c>
      <c r="D41" t="s">
        <v>32</v>
      </c>
      <c r="E41" t="s">
        <v>14</v>
      </c>
      <c r="F41" t="s">
        <v>21</v>
      </c>
      <c r="G41" t="s">
        <v>30</v>
      </c>
      <c r="H41" t="s">
        <v>30</v>
      </c>
      <c r="I41" t="s">
        <v>30</v>
      </c>
      <c r="J41" s="3">
        <v>551</v>
      </c>
      <c r="K41" s="3">
        <v>50842</v>
      </c>
      <c r="L41" t="b">
        <f t="shared" si="1"/>
        <v>1</v>
      </c>
    </row>
    <row r="42" spans="1:12" ht="18.75" customHeight="1" x14ac:dyDescent="0.35">
      <c r="A42" s="3">
        <v>41</v>
      </c>
      <c r="B42" s="3">
        <v>552</v>
      </c>
      <c r="C42" t="s">
        <v>80</v>
      </c>
      <c r="D42" t="s">
        <v>81</v>
      </c>
      <c r="E42" t="s">
        <v>14</v>
      </c>
      <c r="F42" t="s">
        <v>21</v>
      </c>
      <c r="I42" t="s">
        <v>382</v>
      </c>
      <c r="J42" s="3">
        <v>552</v>
      </c>
      <c r="K42" s="3">
        <v>26</v>
      </c>
      <c r="L42" t="b">
        <f t="shared" si="1"/>
        <v>1</v>
      </c>
    </row>
    <row r="43" spans="1:12" ht="18.75" customHeight="1" x14ac:dyDescent="0.35">
      <c r="A43" s="3">
        <v>42</v>
      </c>
      <c r="B43" s="3">
        <v>553</v>
      </c>
      <c r="C43" t="s">
        <v>62</v>
      </c>
      <c r="D43" t="s">
        <v>63</v>
      </c>
      <c r="E43" t="s">
        <v>14</v>
      </c>
      <c r="F43" t="s">
        <v>21</v>
      </c>
      <c r="I43" t="s">
        <v>382</v>
      </c>
      <c r="J43" s="3">
        <v>553</v>
      </c>
      <c r="K43" s="3">
        <v>13606</v>
      </c>
      <c r="L43" t="b">
        <f t="shared" si="1"/>
        <v>1</v>
      </c>
    </row>
    <row r="44" spans="1:12" ht="18.75" customHeight="1" x14ac:dyDescent="0.35">
      <c r="A44" s="3">
        <v>43</v>
      </c>
      <c r="B44" s="3">
        <v>554</v>
      </c>
      <c r="C44" t="s">
        <v>118</v>
      </c>
      <c r="D44" t="s">
        <v>119</v>
      </c>
      <c r="E44" t="s">
        <v>14</v>
      </c>
      <c r="F44" t="s">
        <v>21</v>
      </c>
      <c r="I44" t="s">
        <v>120</v>
      </c>
      <c r="J44" s="3">
        <v>554</v>
      </c>
      <c r="K44" s="3">
        <v>30224</v>
      </c>
      <c r="L44" t="b">
        <f t="shared" si="1"/>
        <v>1</v>
      </c>
    </row>
    <row r="45" spans="1:12" ht="18.75" customHeight="1" x14ac:dyDescent="0.35">
      <c r="A45" s="3">
        <v>44</v>
      </c>
      <c r="B45" s="3">
        <v>555</v>
      </c>
      <c r="C45" t="s">
        <v>35</v>
      </c>
      <c r="D45" t="s">
        <v>36</v>
      </c>
      <c r="E45" t="s">
        <v>14</v>
      </c>
      <c r="F45" t="s">
        <v>37</v>
      </c>
      <c r="G45" t="s">
        <v>38</v>
      </c>
      <c r="H45" t="s">
        <v>39</v>
      </c>
      <c r="I45" t="s">
        <v>34</v>
      </c>
      <c r="J45" s="3">
        <v>555</v>
      </c>
      <c r="K45" s="3">
        <v>42456</v>
      </c>
      <c r="L45" t="b">
        <f t="shared" si="1"/>
        <v>1</v>
      </c>
    </row>
    <row r="46" spans="1:12" ht="18.75" customHeight="1" x14ac:dyDescent="0.35">
      <c r="A46" s="3">
        <v>45</v>
      </c>
      <c r="B46" s="3">
        <v>556</v>
      </c>
      <c r="C46" t="s">
        <v>99</v>
      </c>
      <c r="D46" t="s">
        <v>100</v>
      </c>
      <c r="E46" t="s">
        <v>14</v>
      </c>
      <c r="F46" t="s">
        <v>21</v>
      </c>
      <c r="G46" t="s">
        <v>90</v>
      </c>
      <c r="H46" t="s">
        <v>90</v>
      </c>
      <c r="I46" t="s">
        <v>101</v>
      </c>
      <c r="J46" s="3">
        <v>556</v>
      </c>
      <c r="K46" s="3">
        <v>222253</v>
      </c>
      <c r="L46" t="b">
        <f t="shared" si="1"/>
        <v>1</v>
      </c>
    </row>
    <row r="47" spans="1:12" ht="18.75" customHeight="1" x14ac:dyDescent="0.35">
      <c r="A47" s="3">
        <v>46</v>
      </c>
      <c r="B47" s="3">
        <v>557</v>
      </c>
      <c r="C47" t="s">
        <v>88</v>
      </c>
      <c r="D47" t="s">
        <v>89</v>
      </c>
      <c r="E47" t="s">
        <v>14</v>
      </c>
      <c r="F47" t="s">
        <v>21</v>
      </c>
      <c r="G47" t="s">
        <v>90</v>
      </c>
      <c r="H47" t="s">
        <v>90</v>
      </c>
      <c r="I47" t="s">
        <v>90</v>
      </c>
      <c r="J47" s="3">
        <v>557</v>
      </c>
      <c r="K47" s="3">
        <v>57512</v>
      </c>
      <c r="L47" t="b">
        <f t="shared" si="1"/>
        <v>1</v>
      </c>
    </row>
    <row r="48" spans="1:12" ht="18.75" customHeight="1" x14ac:dyDescent="0.35">
      <c r="A48" s="3">
        <v>47</v>
      </c>
      <c r="B48" s="3">
        <v>559</v>
      </c>
      <c r="C48" t="s">
        <v>105</v>
      </c>
      <c r="D48" t="s">
        <v>106</v>
      </c>
      <c r="E48" t="s">
        <v>14</v>
      </c>
      <c r="F48" t="s">
        <v>37</v>
      </c>
      <c r="G48" t="s">
        <v>107</v>
      </c>
      <c r="I48" t="s">
        <v>108</v>
      </c>
      <c r="J48" s="3">
        <v>559</v>
      </c>
      <c r="K48" s="3">
        <v>24709</v>
      </c>
      <c r="L48" t="b">
        <f t="shared" si="1"/>
        <v>1</v>
      </c>
    </row>
    <row r="49" spans="1:12" ht="18.75" customHeight="1" x14ac:dyDescent="0.35">
      <c r="A49" s="3">
        <v>48</v>
      </c>
      <c r="B49" s="3">
        <v>566</v>
      </c>
      <c r="C49" t="s">
        <v>71</v>
      </c>
      <c r="D49" t="s">
        <v>72</v>
      </c>
      <c r="E49" t="s">
        <v>14</v>
      </c>
      <c r="F49" t="s">
        <v>21</v>
      </c>
      <c r="J49" s="3">
        <v>566</v>
      </c>
      <c r="K49" s="3">
        <v>1143</v>
      </c>
      <c r="L49" t="b">
        <f t="shared" si="1"/>
        <v>1</v>
      </c>
    </row>
    <row r="50" spans="1:12" ht="18.75" customHeight="1" x14ac:dyDescent="0.35">
      <c r="A50" s="3">
        <v>49</v>
      </c>
      <c r="B50" s="3">
        <v>567</v>
      </c>
      <c r="C50" t="s">
        <v>73</v>
      </c>
      <c r="D50" t="s">
        <v>74</v>
      </c>
      <c r="E50" t="s">
        <v>14</v>
      </c>
      <c r="F50" t="s">
        <v>21</v>
      </c>
      <c r="J50" s="3">
        <v>567</v>
      </c>
      <c r="K50" s="3">
        <v>374</v>
      </c>
      <c r="L50" t="b">
        <f t="shared" si="1"/>
        <v>1</v>
      </c>
    </row>
    <row r="51" spans="1:12" ht="18.75" customHeight="1" x14ac:dyDescent="0.35">
      <c r="A51" s="3">
        <v>50</v>
      </c>
      <c r="B51" s="3">
        <v>568</v>
      </c>
      <c r="C51" t="s">
        <v>162</v>
      </c>
      <c r="D51" t="s">
        <v>163</v>
      </c>
      <c r="E51" t="s">
        <v>14</v>
      </c>
      <c r="F51" t="s">
        <v>25</v>
      </c>
      <c r="G51" t="s">
        <v>56</v>
      </c>
      <c r="I51" t="s">
        <v>164</v>
      </c>
      <c r="J51" s="3">
        <v>568</v>
      </c>
      <c r="K51" s="3">
        <v>19421</v>
      </c>
      <c r="L51" t="b">
        <f t="shared" si="1"/>
        <v>1</v>
      </c>
    </row>
    <row r="52" spans="1:12" ht="18.75" customHeight="1" x14ac:dyDescent="0.35">
      <c r="A52" s="3">
        <v>51</v>
      </c>
      <c r="B52" s="3">
        <v>569</v>
      </c>
      <c r="C52" t="s">
        <v>54</v>
      </c>
      <c r="D52" t="s">
        <v>55</v>
      </c>
      <c r="E52" t="s">
        <v>14</v>
      </c>
      <c r="F52" t="s">
        <v>25</v>
      </c>
      <c r="G52" t="s">
        <v>56</v>
      </c>
      <c r="H52" t="s">
        <v>57</v>
      </c>
      <c r="I52" t="s">
        <v>383</v>
      </c>
      <c r="J52" s="3">
        <v>569</v>
      </c>
      <c r="K52" s="3">
        <v>82556</v>
      </c>
      <c r="L52" t="b">
        <f t="shared" si="1"/>
        <v>1</v>
      </c>
    </row>
    <row r="53" spans="1:12" ht="18.75" customHeight="1" x14ac:dyDescent="0.35">
      <c r="A53" s="3">
        <v>52</v>
      </c>
      <c r="B53" s="3">
        <v>572</v>
      </c>
      <c r="C53" t="s">
        <v>109</v>
      </c>
      <c r="D53" t="s">
        <v>110</v>
      </c>
      <c r="E53" t="s">
        <v>14</v>
      </c>
      <c r="F53" t="s">
        <v>37</v>
      </c>
      <c r="G53" t="s">
        <v>38</v>
      </c>
      <c r="H53" t="s">
        <v>39</v>
      </c>
      <c r="I53" t="s">
        <v>111</v>
      </c>
      <c r="J53" s="3">
        <v>572</v>
      </c>
      <c r="K53" s="3">
        <v>25579</v>
      </c>
      <c r="L53" t="b">
        <f t="shared" si="1"/>
        <v>1</v>
      </c>
    </row>
    <row r="54" spans="1:12" ht="18.75" customHeight="1" x14ac:dyDescent="0.35">
      <c r="A54" s="3">
        <v>53</v>
      </c>
      <c r="B54" s="3">
        <v>573</v>
      </c>
      <c r="C54" t="s">
        <v>204</v>
      </c>
      <c r="D54" t="s">
        <v>205</v>
      </c>
      <c r="E54" t="s">
        <v>14</v>
      </c>
      <c r="F54" t="s">
        <v>25</v>
      </c>
      <c r="G54" t="s">
        <v>26</v>
      </c>
      <c r="H54" t="s">
        <v>206</v>
      </c>
      <c r="I54" t="s">
        <v>206</v>
      </c>
      <c r="J54" s="3">
        <v>573</v>
      </c>
      <c r="K54" s="3">
        <v>3497</v>
      </c>
      <c r="L54" t="b">
        <f t="shared" si="1"/>
        <v>1</v>
      </c>
    </row>
    <row r="55" spans="1:12" ht="18.75" customHeight="1" x14ac:dyDescent="0.35">
      <c r="A55" s="3">
        <v>54</v>
      </c>
      <c r="B55" s="3">
        <v>574</v>
      </c>
      <c r="C55" s="5" t="s">
        <v>68</v>
      </c>
      <c r="D55" s="5" t="s">
        <v>68</v>
      </c>
      <c r="E55" t="s">
        <v>14</v>
      </c>
      <c r="F55" t="s">
        <v>25</v>
      </c>
      <c r="J55" s="3">
        <v>574</v>
      </c>
      <c r="K55" s="3">
        <v>4086</v>
      </c>
      <c r="L55" t="b">
        <f t="shared" si="1"/>
        <v>1</v>
      </c>
    </row>
    <row r="56" spans="1:12" ht="18.75" customHeight="1" x14ac:dyDescent="0.35">
      <c r="A56" s="3">
        <v>55</v>
      </c>
      <c r="B56" s="3">
        <v>575</v>
      </c>
      <c r="C56" s="5" t="s">
        <v>150</v>
      </c>
      <c r="D56" t="s">
        <v>151</v>
      </c>
      <c r="E56" t="s">
        <v>14</v>
      </c>
      <c r="F56" t="s">
        <v>25</v>
      </c>
      <c r="I56" t="s">
        <v>151</v>
      </c>
      <c r="J56" s="3">
        <v>575</v>
      </c>
      <c r="K56" s="3">
        <v>5231</v>
      </c>
      <c r="L56" t="b">
        <f t="shared" si="1"/>
        <v>1</v>
      </c>
    </row>
    <row r="57" spans="1:12" ht="18.75" customHeight="1" x14ac:dyDescent="0.35">
      <c r="A57" s="3">
        <v>56</v>
      </c>
      <c r="B57" s="3">
        <v>576</v>
      </c>
      <c r="C57" s="5" t="s">
        <v>153</v>
      </c>
      <c r="D57" t="s">
        <v>151</v>
      </c>
      <c r="E57" t="s">
        <v>14</v>
      </c>
      <c r="F57" t="s">
        <v>25</v>
      </c>
      <c r="I57" t="s">
        <v>151</v>
      </c>
      <c r="J57" s="3">
        <v>576</v>
      </c>
      <c r="K57" s="3">
        <v>131</v>
      </c>
      <c r="L57" t="b">
        <f t="shared" si="1"/>
        <v>1</v>
      </c>
    </row>
    <row r="58" spans="1:12" ht="18.75" customHeight="1" x14ac:dyDescent="0.35">
      <c r="A58" s="3">
        <v>57</v>
      </c>
      <c r="B58" s="3">
        <v>577</v>
      </c>
      <c r="C58" s="5" t="s">
        <v>152</v>
      </c>
      <c r="D58" t="s">
        <v>151</v>
      </c>
      <c r="E58" t="s">
        <v>14</v>
      </c>
      <c r="F58" t="s">
        <v>25</v>
      </c>
      <c r="I58" t="s">
        <v>151</v>
      </c>
      <c r="J58" s="3">
        <v>577</v>
      </c>
      <c r="K58" s="3">
        <v>4031</v>
      </c>
      <c r="L58" t="b">
        <f t="shared" si="1"/>
        <v>1</v>
      </c>
    </row>
    <row r="59" spans="1:12" ht="18.75" customHeight="1" x14ac:dyDescent="0.35">
      <c r="A59" s="3">
        <v>58</v>
      </c>
      <c r="B59" s="3">
        <v>591</v>
      </c>
      <c r="C59" t="s">
        <v>376</v>
      </c>
      <c r="D59" t="s">
        <v>377</v>
      </c>
      <c r="E59" t="s">
        <v>14</v>
      </c>
      <c r="F59" t="s">
        <v>25</v>
      </c>
      <c r="G59" t="s">
        <v>26</v>
      </c>
      <c r="H59" t="s">
        <v>374</v>
      </c>
      <c r="I59" t="s">
        <v>375</v>
      </c>
      <c r="J59" s="3">
        <v>591</v>
      </c>
      <c r="K59" s="3">
        <v>15218</v>
      </c>
      <c r="L59" t="b">
        <f t="shared" si="1"/>
        <v>1</v>
      </c>
    </row>
    <row r="60" spans="1:12" ht="18.75" customHeight="1" x14ac:dyDescent="0.35">
      <c r="A60" s="3">
        <v>59</v>
      </c>
      <c r="B60" s="3">
        <v>592</v>
      </c>
      <c r="C60" t="s">
        <v>331</v>
      </c>
      <c r="D60" t="s">
        <v>332</v>
      </c>
      <c r="E60" t="s">
        <v>14</v>
      </c>
      <c r="F60" t="s">
        <v>25</v>
      </c>
      <c r="G60" t="s">
        <v>26</v>
      </c>
      <c r="H60" t="s">
        <v>330</v>
      </c>
      <c r="I60" t="s">
        <v>330</v>
      </c>
      <c r="J60" s="3">
        <v>592</v>
      </c>
      <c r="K60" s="3">
        <v>4223</v>
      </c>
      <c r="L60" t="b">
        <f t="shared" si="1"/>
        <v>1</v>
      </c>
    </row>
    <row r="61" spans="1:12" ht="18.75" customHeight="1" x14ac:dyDescent="0.35">
      <c r="A61" s="3">
        <v>60</v>
      </c>
      <c r="B61" s="3">
        <v>594</v>
      </c>
      <c r="C61" t="s">
        <v>96</v>
      </c>
      <c r="D61" t="s">
        <v>97</v>
      </c>
      <c r="E61" t="s">
        <v>93</v>
      </c>
      <c r="I61" t="s">
        <v>90</v>
      </c>
      <c r="J61" s="3">
        <v>594</v>
      </c>
      <c r="K61" s="3">
        <v>1850</v>
      </c>
      <c r="L61" t="b">
        <f t="shared" si="1"/>
        <v>1</v>
      </c>
    </row>
    <row r="62" spans="1:12" ht="18.75" customHeight="1" x14ac:dyDescent="0.35">
      <c r="A62" s="3">
        <v>61</v>
      </c>
      <c r="B62" s="6">
        <v>595</v>
      </c>
      <c r="C62" s="5" t="s">
        <v>98</v>
      </c>
      <c r="D62" t="s">
        <v>95</v>
      </c>
      <c r="E62" t="s">
        <v>93</v>
      </c>
      <c r="I62" t="s">
        <v>90</v>
      </c>
      <c r="J62" s="3">
        <v>595</v>
      </c>
      <c r="K62" s="3">
        <v>213</v>
      </c>
      <c r="L62" t="b">
        <f t="shared" si="1"/>
        <v>1</v>
      </c>
    </row>
    <row r="63" spans="1:12" ht="18.75" customHeight="1" x14ac:dyDescent="0.35">
      <c r="A63" s="3">
        <v>62</v>
      </c>
      <c r="B63" s="3">
        <v>597</v>
      </c>
      <c r="C63" t="s">
        <v>91</v>
      </c>
      <c r="D63" t="s">
        <v>92</v>
      </c>
      <c r="E63" t="s">
        <v>93</v>
      </c>
      <c r="I63" t="s">
        <v>90</v>
      </c>
      <c r="J63" s="3">
        <v>597</v>
      </c>
      <c r="K63" s="3">
        <v>41281</v>
      </c>
      <c r="L63" t="b">
        <f t="shared" si="1"/>
        <v>1</v>
      </c>
    </row>
    <row r="64" spans="1:12" ht="18.75" customHeight="1" x14ac:dyDescent="0.35">
      <c r="A64" s="3">
        <v>63</v>
      </c>
      <c r="B64" s="3">
        <v>598</v>
      </c>
      <c r="C64" t="s">
        <v>94</v>
      </c>
      <c r="D64" t="s">
        <v>95</v>
      </c>
      <c r="E64" t="s">
        <v>93</v>
      </c>
      <c r="I64" t="s">
        <v>90</v>
      </c>
      <c r="J64" s="3">
        <v>598</v>
      </c>
      <c r="K64" s="3">
        <v>27415</v>
      </c>
      <c r="L64" t="b">
        <f t="shared" si="1"/>
        <v>1</v>
      </c>
    </row>
    <row r="65" spans="1:12" ht="18.75" customHeight="1" x14ac:dyDescent="0.35">
      <c r="A65" s="3">
        <v>64</v>
      </c>
      <c r="B65" s="3">
        <v>601</v>
      </c>
      <c r="C65" t="s">
        <v>199</v>
      </c>
      <c r="D65" t="s">
        <v>200</v>
      </c>
      <c r="E65" t="s">
        <v>14</v>
      </c>
      <c r="F65" t="s">
        <v>37</v>
      </c>
      <c r="G65" t="s">
        <v>107</v>
      </c>
      <c r="H65" t="s">
        <v>107</v>
      </c>
      <c r="I65" t="s">
        <v>107</v>
      </c>
      <c r="J65" s="3">
        <v>601</v>
      </c>
      <c r="K65" s="3">
        <v>11884868</v>
      </c>
      <c r="L65" t="b">
        <f t="shared" si="1"/>
        <v>1</v>
      </c>
    </row>
    <row r="66" spans="1:12" ht="18.75" customHeight="1" x14ac:dyDescent="0.35">
      <c r="A66" s="3">
        <v>65</v>
      </c>
      <c r="B66" s="3">
        <v>602</v>
      </c>
      <c r="C66" t="s">
        <v>202</v>
      </c>
      <c r="D66" t="s">
        <v>203</v>
      </c>
      <c r="E66" t="s">
        <v>14</v>
      </c>
      <c r="F66" t="s">
        <v>37</v>
      </c>
      <c r="G66" t="s">
        <v>107</v>
      </c>
      <c r="H66" t="s">
        <v>107</v>
      </c>
      <c r="I66" t="s">
        <v>107</v>
      </c>
      <c r="J66" s="3">
        <v>602</v>
      </c>
      <c r="K66" s="3">
        <v>63868</v>
      </c>
      <c r="L66" t="b">
        <f t="shared" ref="L66:L97" si="2">J66=B66</f>
        <v>1</v>
      </c>
    </row>
    <row r="67" spans="1:12" ht="18.75" customHeight="1" x14ac:dyDescent="0.35">
      <c r="A67" s="3">
        <v>66</v>
      </c>
      <c r="B67" s="3">
        <v>611</v>
      </c>
      <c r="C67" t="s">
        <v>185</v>
      </c>
      <c r="D67" t="s">
        <v>186</v>
      </c>
      <c r="E67" t="s">
        <v>14</v>
      </c>
      <c r="F67" t="s">
        <v>37</v>
      </c>
      <c r="G67" t="s">
        <v>107</v>
      </c>
      <c r="H67" t="s">
        <v>107</v>
      </c>
      <c r="I67" t="s">
        <v>187</v>
      </c>
      <c r="J67" s="3">
        <v>611</v>
      </c>
      <c r="K67" s="3">
        <v>8750971</v>
      </c>
      <c r="L67" t="b">
        <f t="shared" si="2"/>
        <v>1</v>
      </c>
    </row>
    <row r="68" spans="1:12" ht="18.75" customHeight="1" x14ac:dyDescent="0.35">
      <c r="A68" s="3">
        <v>67</v>
      </c>
      <c r="B68" s="3">
        <v>612</v>
      </c>
      <c r="C68" t="s">
        <v>188</v>
      </c>
      <c r="D68" t="s">
        <v>189</v>
      </c>
      <c r="E68" t="s">
        <v>14</v>
      </c>
      <c r="F68" t="s">
        <v>37</v>
      </c>
      <c r="G68" t="s">
        <v>107</v>
      </c>
      <c r="H68" t="s">
        <v>107</v>
      </c>
      <c r="I68" t="s">
        <v>187</v>
      </c>
      <c r="J68" s="3">
        <v>612</v>
      </c>
      <c r="K68" s="3">
        <v>1488631</v>
      </c>
      <c r="L68" t="b">
        <f t="shared" si="2"/>
        <v>1</v>
      </c>
    </row>
    <row r="69" spans="1:12" ht="18.75" customHeight="1" x14ac:dyDescent="0.35">
      <c r="A69" s="3">
        <v>68</v>
      </c>
      <c r="B69" s="3">
        <v>613</v>
      </c>
      <c r="C69" t="s">
        <v>196</v>
      </c>
      <c r="D69" t="s">
        <v>197</v>
      </c>
      <c r="E69" t="s">
        <v>14</v>
      </c>
      <c r="F69" t="s">
        <v>37</v>
      </c>
      <c r="G69" t="s">
        <v>107</v>
      </c>
      <c r="H69" t="s">
        <v>107</v>
      </c>
      <c r="I69" t="s">
        <v>198</v>
      </c>
      <c r="J69" s="3">
        <v>613</v>
      </c>
      <c r="K69" s="3">
        <v>35089406</v>
      </c>
      <c r="L69" t="b">
        <f t="shared" si="2"/>
        <v>1</v>
      </c>
    </row>
    <row r="70" spans="1:12" ht="18.75" customHeight="1" x14ac:dyDescent="0.35">
      <c r="A70" s="3">
        <v>69</v>
      </c>
      <c r="B70" s="3">
        <v>616</v>
      </c>
      <c r="C70" t="s">
        <v>247</v>
      </c>
      <c r="D70" t="s">
        <v>248</v>
      </c>
      <c r="E70" t="s">
        <v>14</v>
      </c>
      <c r="F70" t="s">
        <v>37</v>
      </c>
      <c r="G70" t="s">
        <v>116</v>
      </c>
      <c r="H70" t="s">
        <v>116</v>
      </c>
      <c r="I70" t="s">
        <v>116</v>
      </c>
      <c r="J70" s="3">
        <v>616</v>
      </c>
      <c r="K70" s="3">
        <v>9344713</v>
      </c>
      <c r="L70" t="b">
        <f t="shared" si="2"/>
        <v>1</v>
      </c>
    </row>
    <row r="71" spans="1:12" ht="18.75" customHeight="1" x14ac:dyDescent="0.35">
      <c r="A71" s="3">
        <v>70</v>
      </c>
      <c r="B71" s="3">
        <v>617</v>
      </c>
      <c r="C71" t="s">
        <v>251</v>
      </c>
      <c r="D71" t="s">
        <v>252</v>
      </c>
      <c r="E71" t="s">
        <v>14</v>
      </c>
      <c r="F71" t="s">
        <v>37</v>
      </c>
      <c r="G71" t="s">
        <v>116</v>
      </c>
      <c r="H71" t="s">
        <v>116</v>
      </c>
      <c r="I71" t="s">
        <v>253</v>
      </c>
      <c r="J71" s="3">
        <v>617</v>
      </c>
      <c r="K71" s="3">
        <v>4787847</v>
      </c>
      <c r="L71" t="b">
        <f t="shared" si="2"/>
        <v>1</v>
      </c>
    </row>
    <row r="72" spans="1:12" ht="18.75" customHeight="1" x14ac:dyDescent="0.35">
      <c r="A72" s="3">
        <v>71</v>
      </c>
      <c r="B72" s="3">
        <v>618</v>
      </c>
      <c r="C72" t="s">
        <v>114</v>
      </c>
      <c r="D72" t="s">
        <v>115</v>
      </c>
      <c r="E72" t="s">
        <v>14</v>
      </c>
      <c r="F72" t="s">
        <v>37</v>
      </c>
      <c r="G72" t="s">
        <v>116</v>
      </c>
      <c r="H72" t="s">
        <v>116</v>
      </c>
      <c r="I72" t="s">
        <v>116</v>
      </c>
      <c r="J72" s="3">
        <v>618</v>
      </c>
      <c r="K72" s="3">
        <v>688124</v>
      </c>
      <c r="L72" t="b">
        <f t="shared" si="2"/>
        <v>1</v>
      </c>
    </row>
    <row r="73" spans="1:12" ht="18.75" customHeight="1" x14ac:dyDescent="0.35">
      <c r="A73" s="3">
        <v>72</v>
      </c>
      <c r="B73" s="3">
        <v>621</v>
      </c>
      <c r="C73" t="s">
        <v>319</v>
      </c>
      <c r="D73" t="s">
        <v>320</v>
      </c>
      <c r="E73" t="s">
        <v>14</v>
      </c>
      <c r="F73" t="s">
        <v>37</v>
      </c>
      <c r="G73" t="s">
        <v>107</v>
      </c>
      <c r="H73" t="s">
        <v>107</v>
      </c>
      <c r="I73" t="s">
        <v>321</v>
      </c>
      <c r="J73" s="3">
        <v>621</v>
      </c>
      <c r="K73" s="3">
        <v>91808</v>
      </c>
      <c r="L73" t="b">
        <f t="shared" si="2"/>
        <v>1</v>
      </c>
    </row>
    <row r="74" spans="1:12" ht="18.75" customHeight="1" x14ac:dyDescent="0.35">
      <c r="A74" s="3">
        <v>73</v>
      </c>
      <c r="B74" s="3">
        <v>622</v>
      </c>
      <c r="C74" t="s">
        <v>322</v>
      </c>
      <c r="D74" t="s">
        <v>323</v>
      </c>
      <c r="E74" t="s">
        <v>14</v>
      </c>
      <c r="F74" t="s">
        <v>37</v>
      </c>
      <c r="G74" t="s">
        <v>107</v>
      </c>
      <c r="H74" t="s">
        <v>107</v>
      </c>
      <c r="I74" t="s">
        <v>324</v>
      </c>
      <c r="J74" s="3">
        <v>622</v>
      </c>
      <c r="K74" s="3">
        <v>94995</v>
      </c>
      <c r="L74" t="b">
        <f t="shared" si="2"/>
        <v>1</v>
      </c>
    </row>
    <row r="75" spans="1:12" ht="18.75" customHeight="1" x14ac:dyDescent="0.35">
      <c r="A75" s="3">
        <v>74</v>
      </c>
      <c r="B75" s="3">
        <v>623</v>
      </c>
      <c r="C75" s="5" t="s">
        <v>325</v>
      </c>
      <c r="D75" t="s">
        <v>323</v>
      </c>
      <c r="E75" t="s">
        <v>14</v>
      </c>
      <c r="F75" t="s">
        <v>37</v>
      </c>
      <c r="G75" t="s">
        <v>107</v>
      </c>
      <c r="H75" t="s">
        <v>107</v>
      </c>
      <c r="I75" t="s">
        <v>324</v>
      </c>
      <c r="J75" s="3">
        <v>623</v>
      </c>
      <c r="K75" s="3">
        <v>30841</v>
      </c>
      <c r="L75" t="b">
        <f t="shared" si="2"/>
        <v>1</v>
      </c>
    </row>
    <row r="76" spans="1:12" ht="18.75" customHeight="1" x14ac:dyDescent="0.35">
      <c r="A76" s="3">
        <v>75</v>
      </c>
      <c r="B76" s="3">
        <v>625</v>
      </c>
      <c r="C76" t="s">
        <v>114</v>
      </c>
      <c r="D76" t="s">
        <v>115</v>
      </c>
      <c r="E76" t="s">
        <v>14</v>
      </c>
      <c r="F76" t="s">
        <v>37</v>
      </c>
      <c r="G76" t="s">
        <v>116</v>
      </c>
      <c r="H76" t="s">
        <v>116</v>
      </c>
      <c r="I76" t="s">
        <v>117</v>
      </c>
      <c r="J76" s="3">
        <v>625</v>
      </c>
      <c r="K76" s="3">
        <v>320403</v>
      </c>
      <c r="L76" t="b">
        <f t="shared" si="2"/>
        <v>1</v>
      </c>
    </row>
    <row r="77" spans="1:12" ht="18.75" customHeight="1" x14ac:dyDescent="0.35">
      <c r="A77" s="3">
        <v>76</v>
      </c>
      <c r="B77" s="3">
        <v>631</v>
      </c>
      <c r="C77" t="s">
        <v>159</v>
      </c>
      <c r="D77" t="s">
        <v>160</v>
      </c>
      <c r="E77" t="s">
        <v>14</v>
      </c>
      <c r="F77" t="s">
        <v>25</v>
      </c>
      <c r="G77" t="s">
        <v>26</v>
      </c>
      <c r="H77" t="s">
        <v>161</v>
      </c>
      <c r="I77" t="s">
        <v>161</v>
      </c>
      <c r="J77" s="3">
        <v>631</v>
      </c>
      <c r="K77" s="3">
        <v>25757</v>
      </c>
      <c r="L77" t="b">
        <f t="shared" si="2"/>
        <v>1</v>
      </c>
    </row>
    <row r="78" spans="1:12" ht="18.75" customHeight="1" x14ac:dyDescent="0.35">
      <c r="A78" s="3">
        <v>77</v>
      </c>
      <c r="B78" s="3">
        <v>632</v>
      </c>
      <c r="C78" t="s">
        <v>193</v>
      </c>
      <c r="D78" t="s">
        <v>194</v>
      </c>
      <c r="E78" t="s">
        <v>14</v>
      </c>
      <c r="F78" t="s">
        <v>37</v>
      </c>
      <c r="J78" s="3">
        <v>632</v>
      </c>
      <c r="K78" s="3">
        <v>21085</v>
      </c>
      <c r="L78" t="b">
        <f t="shared" si="2"/>
        <v>1</v>
      </c>
    </row>
    <row r="79" spans="1:12" ht="18.75" customHeight="1" x14ac:dyDescent="0.35">
      <c r="A79" s="3">
        <v>78</v>
      </c>
      <c r="B79" s="3">
        <v>634</v>
      </c>
      <c r="C79" t="s">
        <v>280</v>
      </c>
      <c r="D79" t="s">
        <v>281</v>
      </c>
      <c r="E79" t="s">
        <v>14</v>
      </c>
      <c r="F79" t="s">
        <v>37</v>
      </c>
      <c r="G79" t="s">
        <v>107</v>
      </c>
      <c r="H79" t="s">
        <v>107</v>
      </c>
      <c r="I79" t="s">
        <v>282</v>
      </c>
      <c r="J79" s="3">
        <v>634</v>
      </c>
      <c r="K79" s="3">
        <v>17574</v>
      </c>
      <c r="L79" t="b">
        <f t="shared" si="2"/>
        <v>1</v>
      </c>
    </row>
    <row r="80" spans="1:12" ht="18.75" customHeight="1" x14ac:dyDescent="0.35">
      <c r="A80" s="3">
        <v>79</v>
      </c>
      <c r="B80" s="3">
        <v>660</v>
      </c>
      <c r="C80" s="5" t="s">
        <v>250</v>
      </c>
      <c r="I80" t="s">
        <v>116</v>
      </c>
      <c r="J80" s="3">
        <v>660</v>
      </c>
      <c r="K80" s="3">
        <v>8</v>
      </c>
      <c r="L80" t="b">
        <f t="shared" si="2"/>
        <v>1</v>
      </c>
    </row>
    <row r="81" spans="1:12" ht="18.75" customHeight="1" x14ac:dyDescent="0.35">
      <c r="A81" s="3">
        <v>80</v>
      </c>
      <c r="B81" s="3">
        <v>693</v>
      </c>
      <c r="C81" s="5" t="s">
        <v>42</v>
      </c>
      <c r="I81" t="s">
        <v>34</v>
      </c>
      <c r="J81" s="3">
        <v>693</v>
      </c>
      <c r="K81" s="3">
        <v>2524</v>
      </c>
      <c r="L81" t="b">
        <f t="shared" si="2"/>
        <v>1</v>
      </c>
    </row>
    <row r="82" spans="1:12" ht="18.75" customHeight="1" x14ac:dyDescent="0.35">
      <c r="A82" s="3">
        <v>81</v>
      </c>
      <c r="B82" s="3">
        <v>694</v>
      </c>
      <c r="C82" s="5" t="s">
        <v>33</v>
      </c>
      <c r="I82" t="s">
        <v>34</v>
      </c>
      <c r="J82" s="3">
        <v>694</v>
      </c>
      <c r="K82" s="3">
        <v>339877</v>
      </c>
      <c r="L82" t="b">
        <f t="shared" si="2"/>
        <v>1</v>
      </c>
    </row>
    <row r="83" spans="1:12" ht="18.75" customHeight="1" x14ac:dyDescent="0.35">
      <c r="A83" s="3">
        <v>82</v>
      </c>
      <c r="B83" s="3">
        <v>697</v>
      </c>
      <c r="C83" t="s">
        <v>268</v>
      </c>
      <c r="D83" t="s">
        <v>269</v>
      </c>
      <c r="E83" t="s">
        <v>14</v>
      </c>
      <c r="F83" t="s">
        <v>37</v>
      </c>
      <c r="G83" t="s">
        <v>38</v>
      </c>
      <c r="I83" t="s">
        <v>267</v>
      </c>
      <c r="J83" s="3">
        <v>697</v>
      </c>
      <c r="K83" s="3">
        <v>25438</v>
      </c>
      <c r="L83" t="b">
        <f t="shared" si="2"/>
        <v>1</v>
      </c>
    </row>
    <row r="84" spans="1:12" ht="18.75" customHeight="1" x14ac:dyDescent="0.35">
      <c r="A84" s="3">
        <v>83</v>
      </c>
      <c r="B84" s="3">
        <v>698</v>
      </c>
      <c r="C84" t="s">
        <v>265</v>
      </c>
      <c r="D84" t="s">
        <v>266</v>
      </c>
      <c r="E84" t="s">
        <v>14</v>
      </c>
      <c r="F84" t="s">
        <v>37</v>
      </c>
      <c r="I84" t="s">
        <v>267</v>
      </c>
      <c r="J84" s="3">
        <v>698</v>
      </c>
      <c r="K84" s="3">
        <v>64942</v>
      </c>
      <c r="L84" t="b">
        <f t="shared" si="2"/>
        <v>1</v>
      </c>
    </row>
    <row r="85" spans="1:12" ht="18.75" customHeight="1" x14ac:dyDescent="0.35">
      <c r="A85" s="3">
        <v>84</v>
      </c>
      <c r="B85" s="3">
        <v>701</v>
      </c>
      <c r="C85" t="s">
        <v>351</v>
      </c>
      <c r="D85" t="s">
        <v>352</v>
      </c>
      <c r="E85" t="s">
        <v>14</v>
      </c>
      <c r="F85" t="s">
        <v>15</v>
      </c>
      <c r="G85" t="s">
        <v>16</v>
      </c>
      <c r="H85" t="s">
        <v>353</v>
      </c>
      <c r="I85" t="s">
        <v>353</v>
      </c>
      <c r="J85" s="3">
        <v>701</v>
      </c>
      <c r="K85" s="3">
        <v>796735</v>
      </c>
      <c r="L85" t="b">
        <f t="shared" si="2"/>
        <v>1</v>
      </c>
    </row>
    <row r="86" spans="1:12" ht="18.75" customHeight="1" x14ac:dyDescent="0.35">
      <c r="A86" s="3">
        <v>85</v>
      </c>
      <c r="B86" s="3">
        <v>702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17</v>
      </c>
      <c r="J86" s="3">
        <v>702</v>
      </c>
      <c r="K86" s="3">
        <v>361513</v>
      </c>
      <c r="L86" t="b">
        <f t="shared" si="2"/>
        <v>1</v>
      </c>
    </row>
    <row r="87" spans="1:12" ht="18.75" customHeight="1" x14ac:dyDescent="0.35">
      <c r="A87" s="3">
        <v>86</v>
      </c>
      <c r="B87" s="3">
        <v>703</v>
      </c>
      <c r="C87" t="s">
        <v>257</v>
      </c>
      <c r="D87" t="s">
        <v>258</v>
      </c>
      <c r="E87" t="s">
        <v>14</v>
      </c>
      <c r="F87" t="s">
        <v>15</v>
      </c>
      <c r="G87" t="s">
        <v>16</v>
      </c>
      <c r="H87" t="s">
        <v>259</v>
      </c>
      <c r="I87" t="s">
        <v>259</v>
      </c>
      <c r="J87" s="3">
        <v>703</v>
      </c>
      <c r="K87" s="3">
        <v>74016</v>
      </c>
      <c r="L87" t="b">
        <f t="shared" si="2"/>
        <v>1</v>
      </c>
    </row>
    <row r="88" spans="1:12" ht="18.75" customHeight="1" x14ac:dyDescent="0.35">
      <c r="A88" s="3">
        <v>87</v>
      </c>
      <c r="B88" s="3">
        <v>704</v>
      </c>
      <c r="C88" t="s">
        <v>223</v>
      </c>
      <c r="D88" t="s">
        <v>224</v>
      </c>
      <c r="E88" t="s">
        <v>14</v>
      </c>
      <c r="F88" t="s">
        <v>15</v>
      </c>
      <c r="G88" t="s">
        <v>16</v>
      </c>
      <c r="H88" t="s">
        <v>225</v>
      </c>
      <c r="I88" t="s">
        <v>225</v>
      </c>
      <c r="J88" s="3">
        <v>704</v>
      </c>
      <c r="K88" s="3">
        <v>151695</v>
      </c>
      <c r="L88" t="b">
        <f t="shared" si="2"/>
        <v>1</v>
      </c>
    </row>
    <row r="89" spans="1:12" ht="18.75" customHeight="1" x14ac:dyDescent="0.35">
      <c r="A89" s="3">
        <v>88</v>
      </c>
      <c r="B89" s="3">
        <v>705</v>
      </c>
      <c r="C89" t="s">
        <v>28</v>
      </c>
      <c r="D89" t="s">
        <v>29</v>
      </c>
      <c r="E89" t="s">
        <v>14</v>
      </c>
      <c r="F89" t="s">
        <v>21</v>
      </c>
      <c r="G89" t="s">
        <v>30</v>
      </c>
      <c r="H89" t="s">
        <v>30</v>
      </c>
      <c r="I89" t="s">
        <v>30</v>
      </c>
      <c r="J89" s="3">
        <v>705</v>
      </c>
      <c r="K89" s="3">
        <v>58225</v>
      </c>
      <c r="L89" t="b">
        <f t="shared" si="2"/>
        <v>1</v>
      </c>
    </row>
    <row r="90" spans="1:12" ht="18.75" customHeight="1" x14ac:dyDescent="0.35">
      <c r="A90" s="3">
        <v>89</v>
      </c>
      <c r="B90" s="3">
        <v>706</v>
      </c>
      <c r="C90" t="s">
        <v>59</v>
      </c>
      <c r="D90" t="s">
        <v>60</v>
      </c>
      <c r="E90" t="s">
        <v>14</v>
      </c>
      <c r="F90" t="s">
        <v>21</v>
      </c>
      <c r="J90" s="3">
        <v>706</v>
      </c>
      <c r="K90" s="3">
        <v>16681</v>
      </c>
      <c r="L90" t="b">
        <f t="shared" si="2"/>
        <v>1</v>
      </c>
    </row>
    <row r="91" spans="1:12" ht="18.75" customHeight="1" x14ac:dyDescent="0.35">
      <c r="A91" s="3">
        <v>90</v>
      </c>
      <c r="B91" s="3">
        <v>707</v>
      </c>
      <c r="C91" t="s">
        <v>66</v>
      </c>
      <c r="D91" t="s">
        <v>67</v>
      </c>
      <c r="E91" t="s">
        <v>14</v>
      </c>
      <c r="F91" t="s">
        <v>21</v>
      </c>
      <c r="J91" s="3">
        <v>707</v>
      </c>
      <c r="K91" s="3">
        <v>5195</v>
      </c>
      <c r="L91" t="b">
        <f t="shared" si="2"/>
        <v>1</v>
      </c>
    </row>
    <row r="92" spans="1:12" ht="18.75" customHeight="1" x14ac:dyDescent="0.35">
      <c r="A92" s="3">
        <v>91</v>
      </c>
      <c r="B92" s="3">
        <v>708</v>
      </c>
      <c r="C92" t="s">
        <v>156</v>
      </c>
      <c r="D92" t="s">
        <v>157</v>
      </c>
      <c r="E92" t="s">
        <v>14</v>
      </c>
      <c r="F92" t="s">
        <v>15</v>
      </c>
      <c r="G92" t="s">
        <v>16</v>
      </c>
      <c r="H92" t="s">
        <v>158</v>
      </c>
      <c r="I92" t="s">
        <v>158</v>
      </c>
      <c r="J92" s="3">
        <v>708</v>
      </c>
      <c r="K92" s="3">
        <v>1653</v>
      </c>
      <c r="L92" t="b">
        <f t="shared" si="2"/>
        <v>1</v>
      </c>
    </row>
    <row r="93" spans="1:12" ht="18.75" customHeight="1" x14ac:dyDescent="0.35">
      <c r="A93" s="3">
        <v>92</v>
      </c>
      <c r="B93" s="3">
        <v>709</v>
      </c>
      <c r="C93" t="s">
        <v>64</v>
      </c>
      <c r="D93" t="s">
        <v>65</v>
      </c>
      <c r="E93" t="s">
        <v>14</v>
      </c>
      <c r="F93" t="s">
        <v>21</v>
      </c>
      <c r="J93" s="3">
        <v>709</v>
      </c>
      <c r="K93" s="3">
        <v>7691</v>
      </c>
      <c r="L93" t="b">
        <f t="shared" si="2"/>
        <v>1</v>
      </c>
    </row>
    <row r="94" spans="1:12" ht="18.75" customHeight="1" x14ac:dyDescent="0.35">
      <c r="A94" s="3">
        <v>93</v>
      </c>
      <c r="B94" s="3">
        <v>710</v>
      </c>
      <c r="C94" t="s">
        <v>19</v>
      </c>
      <c r="D94" t="s">
        <v>20</v>
      </c>
      <c r="E94" t="s">
        <v>14</v>
      </c>
      <c r="F94" t="s">
        <v>21</v>
      </c>
      <c r="I94" t="s">
        <v>22</v>
      </c>
      <c r="J94" s="3">
        <v>710</v>
      </c>
      <c r="K94" s="3">
        <v>37968</v>
      </c>
      <c r="L94" t="b">
        <f t="shared" si="2"/>
        <v>1</v>
      </c>
    </row>
    <row r="95" spans="1:12" ht="18.75" customHeight="1" x14ac:dyDescent="0.35">
      <c r="A95" s="3">
        <v>94</v>
      </c>
      <c r="B95" s="6">
        <v>711</v>
      </c>
      <c r="C95" s="5" t="s">
        <v>82</v>
      </c>
      <c r="D95" t="s">
        <v>83</v>
      </c>
      <c r="J95" s="3">
        <v>711</v>
      </c>
      <c r="K95" s="3">
        <v>11</v>
      </c>
      <c r="L95" t="b">
        <f t="shared" si="2"/>
        <v>1</v>
      </c>
    </row>
    <row r="96" spans="1:12" ht="18.75" customHeight="1" x14ac:dyDescent="0.35">
      <c r="A96" s="3">
        <v>95</v>
      </c>
      <c r="B96" s="3">
        <v>712</v>
      </c>
      <c r="C96" t="s">
        <v>336</v>
      </c>
      <c r="D96" t="s">
        <v>337</v>
      </c>
      <c r="E96" t="s">
        <v>14</v>
      </c>
      <c r="F96" t="s">
        <v>15</v>
      </c>
      <c r="G96" t="s">
        <v>338</v>
      </c>
      <c r="H96" t="s">
        <v>338</v>
      </c>
      <c r="I96" t="s">
        <v>339</v>
      </c>
      <c r="J96" s="3">
        <v>712</v>
      </c>
      <c r="K96" s="3">
        <v>55142</v>
      </c>
      <c r="L96" t="b">
        <f t="shared" si="2"/>
        <v>1</v>
      </c>
    </row>
    <row r="97" spans="1:12" ht="18.75" customHeight="1" x14ac:dyDescent="0.35">
      <c r="A97" s="3">
        <v>96</v>
      </c>
      <c r="B97" s="3">
        <v>713</v>
      </c>
      <c r="C97" t="s">
        <v>340</v>
      </c>
      <c r="D97" t="s">
        <v>341</v>
      </c>
      <c r="E97" t="s">
        <v>14</v>
      </c>
      <c r="F97" t="s">
        <v>15</v>
      </c>
      <c r="G97" t="s">
        <v>338</v>
      </c>
      <c r="H97" t="s">
        <v>338</v>
      </c>
      <c r="I97" t="s">
        <v>339</v>
      </c>
      <c r="J97" s="3">
        <v>713</v>
      </c>
      <c r="K97" s="3">
        <v>5146</v>
      </c>
      <c r="L97" t="b">
        <f t="shared" si="2"/>
        <v>1</v>
      </c>
    </row>
    <row r="98" spans="1:12" ht="18.75" customHeight="1" x14ac:dyDescent="0.35">
      <c r="A98" s="3">
        <v>97</v>
      </c>
      <c r="B98" s="3">
        <v>714</v>
      </c>
      <c r="C98" t="s">
        <v>218</v>
      </c>
      <c r="D98" t="s">
        <v>219</v>
      </c>
      <c r="E98" t="s">
        <v>14</v>
      </c>
      <c r="F98" t="s">
        <v>21</v>
      </c>
      <c r="J98" s="3">
        <v>714</v>
      </c>
      <c r="K98" s="3">
        <v>14572</v>
      </c>
      <c r="L98" t="b">
        <f t="shared" ref="L98:L129" si="3">J98=B98</f>
        <v>1</v>
      </c>
    </row>
    <row r="99" spans="1:12" ht="18.75" customHeight="1" x14ac:dyDescent="0.35">
      <c r="A99" s="3">
        <v>98</v>
      </c>
      <c r="B99" s="3">
        <v>715</v>
      </c>
      <c r="C99" t="s">
        <v>215</v>
      </c>
      <c r="D99" t="s">
        <v>216</v>
      </c>
      <c r="E99" t="s">
        <v>14</v>
      </c>
      <c r="F99" t="s">
        <v>21</v>
      </c>
      <c r="J99" s="3">
        <v>715</v>
      </c>
      <c r="K99" s="3">
        <v>29927</v>
      </c>
      <c r="L99" t="b">
        <f t="shared" si="3"/>
        <v>1</v>
      </c>
    </row>
    <row r="100" spans="1:12" ht="18.75" customHeight="1" x14ac:dyDescent="0.35">
      <c r="A100" s="3">
        <v>99</v>
      </c>
      <c r="B100" s="3">
        <v>717</v>
      </c>
      <c r="C100" t="s">
        <v>354</v>
      </c>
      <c r="D100" t="s">
        <v>355</v>
      </c>
      <c r="E100" t="s">
        <v>14</v>
      </c>
      <c r="F100" t="s">
        <v>15</v>
      </c>
      <c r="G100" t="s">
        <v>16</v>
      </c>
      <c r="H100" t="s">
        <v>353</v>
      </c>
      <c r="I100" t="s">
        <v>353</v>
      </c>
      <c r="J100" s="3">
        <v>717</v>
      </c>
      <c r="K100" s="3">
        <v>416672</v>
      </c>
      <c r="L100" t="b">
        <f t="shared" si="3"/>
        <v>1</v>
      </c>
    </row>
    <row r="101" spans="1:12" ht="18.75" customHeight="1" x14ac:dyDescent="0.35">
      <c r="A101" s="3">
        <v>100</v>
      </c>
      <c r="B101" s="3">
        <v>718</v>
      </c>
      <c r="C101" t="s">
        <v>69</v>
      </c>
      <c r="D101" t="s">
        <v>70</v>
      </c>
      <c r="E101" t="s">
        <v>14</v>
      </c>
      <c r="F101" t="s">
        <v>21</v>
      </c>
      <c r="J101" s="3">
        <v>718</v>
      </c>
      <c r="K101" s="3">
        <v>3700</v>
      </c>
      <c r="L101" t="b">
        <f t="shared" si="3"/>
        <v>1</v>
      </c>
    </row>
    <row r="102" spans="1:12" ht="18.75" customHeight="1" x14ac:dyDescent="0.35">
      <c r="A102" s="3">
        <v>101</v>
      </c>
      <c r="B102" s="3">
        <v>719</v>
      </c>
      <c r="C102" t="s">
        <v>78</v>
      </c>
      <c r="D102" t="s">
        <v>79</v>
      </c>
      <c r="E102" t="s">
        <v>14</v>
      </c>
      <c r="F102" t="s">
        <v>21</v>
      </c>
      <c r="J102" s="3">
        <v>719</v>
      </c>
      <c r="K102" s="3">
        <v>62</v>
      </c>
      <c r="L102" t="b">
        <f t="shared" si="3"/>
        <v>1</v>
      </c>
    </row>
    <row r="103" spans="1:12" ht="18.75" customHeight="1" x14ac:dyDescent="0.35">
      <c r="A103" s="3">
        <v>102</v>
      </c>
      <c r="B103" s="3">
        <v>720</v>
      </c>
      <c r="C103" t="s">
        <v>47</v>
      </c>
      <c r="D103" t="s">
        <v>48</v>
      </c>
      <c r="E103" t="s">
        <v>14</v>
      </c>
      <c r="F103" t="s">
        <v>15</v>
      </c>
      <c r="G103" t="s">
        <v>16</v>
      </c>
      <c r="H103" t="s">
        <v>49</v>
      </c>
      <c r="I103" t="s">
        <v>49</v>
      </c>
      <c r="J103" s="3">
        <v>720</v>
      </c>
      <c r="K103" s="3">
        <v>37517</v>
      </c>
      <c r="L103" t="b">
        <f t="shared" si="3"/>
        <v>1</v>
      </c>
    </row>
    <row r="104" spans="1:12" ht="18.75" customHeight="1" x14ac:dyDescent="0.35">
      <c r="A104" s="3">
        <v>103</v>
      </c>
      <c r="B104" s="3">
        <v>721</v>
      </c>
      <c r="C104" t="s">
        <v>123</v>
      </c>
      <c r="D104" t="s">
        <v>124</v>
      </c>
      <c r="E104" t="s">
        <v>14</v>
      </c>
      <c r="F104" t="s">
        <v>21</v>
      </c>
      <c r="I104" t="s">
        <v>120</v>
      </c>
      <c r="J104" s="3">
        <v>721</v>
      </c>
      <c r="K104" s="3">
        <v>1687</v>
      </c>
      <c r="L104" t="b">
        <f t="shared" si="3"/>
        <v>1</v>
      </c>
    </row>
    <row r="105" spans="1:12" ht="18.75" customHeight="1" x14ac:dyDescent="0.35">
      <c r="A105" s="3">
        <v>104</v>
      </c>
      <c r="B105" s="3">
        <v>722</v>
      </c>
      <c r="C105" t="s">
        <v>356</v>
      </c>
      <c r="D105" t="s">
        <v>357</v>
      </c>
      <c r="E105" t="s">
        <v>14</v>
      </c>
      <c r="F105" t="s">
        <v>15</v>
      </c>
      <c r="G105" t="s">
        <v>16</v>
      </c>
      <c r="H105" t="s">
        <v>353</v>
      </c>
      <c r="I105" t="s">
        <v>353</v>
      </c>
      <c r="J105" s="3">
        <v>722</v>
      </c>
      <c r="K105" s="3">
        <v>2708</v>
      </c>
      <c r="L105" t="b">
        <f t="shared" si="3"/>
        <v>1</v>
      </c>
    </row>
    <row r="106" spans="1:12" ht="18.75" customHeight="1" x14ac:dyDescent="0.35">
      <c r="A106" s="3">
        <v>105</v>
      </c>
      <c r="B106" s="3">
        <v>725</v>
      </c>
      <c r="C106" s="5" t="s">
        <v>263</v>
      </c>
      <c r="D106" t="s">
        <v>264</v>
      </c>
      <c r="E106" t="s">
        <v>14</v>
      </c>
      <c r="I106" t="s">
        <v>264</v>
      </c>
      <c r="J106" s="3">
        <v>725</v>
      </c>
      <c r="K106" s="3">
        <v>7931</v>
      </c>
      <c r="L106" t="b">
        <f t="shared" si="3"/>
        <v>1</v>
      </c>
    </row>
    <row r="107" spans="1:12" ht="18.75" customHeight="1" x14ac:dyDescent="0.35">
      <c r="A107" s="3">
        <v>106</v>
      </c>
      <c r="B107" s="3">
        <v>730</v>
      </c>
      <c r="C107" s="5" t="s">
        <v>229</v>
      </c>
      <c r="D107" t="s">
        <v>230</v>
      </c>
      <c r="I107" t="s">
        <v>228</v>
      </c>
      <c r="J107" s="3">
        <v>730</v>
      </c>
      <c r="K107" s="3">
        <v>24</v>
      </c>
      <c r="L107" t="b">
        <f t="shared" si="3"/>
        <v>1</v>
      </c>
    </row>
    <row r="108" spans="1:12" ht="18.75" customHeight="1" x14ac:dyDescent="0.35">
      <c r="A108" s="3">
        <v>107</v>
      </c>
      <c r="B108" s="3">
        <v>731</v>
      </c>
      <c r="C108" t="s">
        <v>226</v>
      </c>
      <c r="D108" t="s">
        <v>227</v>
      </c>
      <c r="E108" t="s">
        <v>14</v>
      </c>
      <c r="F108" t="s">
        <v>21</v>
      </c>
      <c r="I108" t="s">
        <v>228</v>
      </c>
      <c r="J108" s="3">
        <v>731</v>
      </c>
      <c r="K108" s="3">
        <v>13368</v>
      </c>
      <c r="L108" t="b">
        <f t="shared" si="3"/>
        <v>1</v>
      </c>
    </row>
    <row r="109" spans="1:12" ht="18.75" customHeight="1" x14ac:dyDescent="0.35">
      <c r="A109" s="3">
        <v>108</v>
      </c>
      <c r="B109" s="3">
        <v>735</v>
      </c>
      <c r="C109" t="s">
        <v>358</v>
      </c>
      <c r="D109" t="s">
        <v>359</v>
      </c>
      <c r="E109" t="s">
        <v>14</v>
      </c>
      <c r="F109" t="s">
        <v>15</v>
      </c>
      <c r="G109" t="s">
        <v>16</v>
      </c>
      <c r="H109" t="s">
        <v>353</v>
      </c>
      <c r="I109" t="s">
        <v>353</v>
      </c>
      <c r="J109" s="3">
        <v>735</v>
      </c>
      <c r="K109" s="3">
        <v>2675</v>
      </c>
      <c r="L109" t="b">
        <f t="shared" si="3"/>
        <v>1</v>
      </c>
    </row>
    <row r="110" spans="1:12" ht="18.75" customHeight="1" x14ac:dyDescent="0.35">
      <c r="A110" s="3">
        <v>109</v>
      </c>
      <c r="B110" s="6">
        <v>750</v>
      </c>
      <c r="C110" s="5" t="s">
        <v>243</v>
      </c>
      <c r="J110" s="3">
        <v>750</v>
      </c>
      <c r="K110" s="3">
        <v>4</v>
      </c>
      <c r="L110" t="b">
        <f t="shared" si="3"/>
        <v>1</v>
      </c>
    </row>
    <row r="111" spans="1:12" ht="18.75" customHeight="1" x14ac:dyDescent="0.35">
      <c r="A111" s="3">
        <v>110</v>
      </c>
      <c r="B111" s="3">
        <v>797</v>
      </c>
      <c r="C111" t="s">
        <v>239</v>
      </c>
      <c r="D111" t="s">
        <v>240</v>
      </c>
      <c r="E111" t="s">
        <v>14</v>
      </c>
      <c r="F111" t="s">
        <v>21</v>
      </c>
      <c r="G111" t="s">
        <v>38</v>
      </c>
      <c r="J111" s="3">
        <v>797</v>
      </c>
      <c r="K111" s="3">
        <v>7026</v>
      </c>
      <c r="L111" t="b">
        <f t="shared" si="3"/>
        <v>1</v>
      </c>
    </row>
    <row r="112" spans="1:12" ht="18.75" customHeight="1" x14ac:dyDescent="0.35">
      <c r="A112" s="3">
        <v>111</v>
      </c>
      <c r="B112" s="3">
        <v>798</v>
      </c>
      <c r="C112" t="s">
        <v>241</v>
      </c>
      <c r="D112" t="s">
        <v>242</v>
      </c>
      <c r="E112" t="s">
        <v>14</v>
      </c>
      <c r="F112" t="s">
        <v>21</v>
      </c>
      <c r="J112" s="3">
        <v>798</v>
      </c>
      <c r="K112" s="3">
        <v>998</v>
      </c>
      <c r="L112" t="b">
        <f t="shared" si="3"/>
        <v>1</v>
      </c>
    </row>
    <row r="113" spans="1:12" ht="18.75" customHeight="1" x14ac:dyDescent="0.35">
      <c r="A113" s="3">
        <v>112</v>
      </c>
      <c r="B113" s="3">
        <v>801</v>
      </c>
      <c r="C113" t="s">
        <v>135</v>
      </c>
      <c r="D113" t="s">
        <v>136</v>
      </c>
      <c r="E113" t="s">
        <v>77</v>
      </c>
      <c r="G113" t="s">
        <v>134</v>
      </c>
      <c r="H113" t="s">
        <v>137</v>
      </c>
      <c r="I113" t="s">
        <v>138</v>
      </c>
      <c r="J113" s="3">
        <v>801</v>
      </c>
      <c r="K113" s="3">
        <v>19280</v>
      </c>
      <c r="L113" t="b">
        <f t="shared" si="3"/>
        <v>1</v>
      </c>
    </row>
    <row r="114" spans="1:12" ht="18.75" customHeight="1" x14ac:dyDescent="0.35">
      <c r="A114" s="3">
        <v>113</v>
      </c>
      <c r="B114" s="3">
        <v>802</v>
      </c>
      <c r="C114" t="s">
        <v>141</v>
      </c>
      <c r="D114" t="s">
        <v>142</v>
      </c>
      <c r="E114" t="s">
        <v>77</v>
      </c>
      <c r="G114" t="s">
        <v>134</v>
      </c>
      <c r="H114" t="s">
        <v>140</v>
      </c>
      <c r="I114" t="s">
        <v>138</v>
      </c>
      <c r="J114" s="3">
        <v>802</v>
      </c>
      <c r="K114" s="3">
        <v>1498</v>
      </c>
      <c r="L114" t="b">
        <f t="shared" si="3"/>
        <v>1</v>
      </c>
    </row>
    <row r="115" spans="1:12" ht="18.75" customHeight="1" x14ac:dyDescent="0.35">
      <c r="A115" s="3">
        <v>114</v>
      </c>
      <c r="B115" s="3">
        <v>803</v>
      </c>
      <c r="C115" t="s">
        <v>138</v>
      </c>
      <c r="D115" t="s">
        <v>139</v>
      </c>
      <c r="E115" t="s">
        <v>77</v>
      </c>
      <c r="G115" t="s">
        <v>134</v>
      </c>
      <c r="H115" t="s">
        <v>140</v>
      </c>
      <c r="I115" t="s">
        <v>138</v>
      </c>
      <c r="J115" s="3">
        <v>803</v>
      </c>
      <c r="K115" s="3">
        <v>3648</v>
      </c>
      <c r="L115" t="b">
        <f t="shared" si="3"/>
        <v>1</v>
      </c>
    </row>
    <row r="116" spans="1:12" ht="18.75" customHeight="1" x14ac:dyDescent="0.35">
      <c r="A116" s="3">
        <v>115</v>
      </c>
      <c r="B116" s="3">
        <v>806</v>
      </c>
      <c r="C116" t="s">
        <v>349</v>
      </c>
      <c r="D116" t="s">
        <v>350</v>
      </c>
      <c r="G116" t="s">
        <v>295</v>
      </c>
      <c r="H116" t="s">
        <v>137</v>
      </c>
      <c r="I116" t="s">
        <v>137</v>
      </c>
      <c r="J116" s="3">
        <v>806</v>
      </c>
      <c r="K116" s="3">
        <v>18496</v>
      </c>
      <c r="L116" t="b">
        <f t="shared" si="3"/>
        <v>1</v>
      </c>
    </row>
    <row r="117" spans="1:12" ht="18.75" customHeight="1" x14ac:dyDescent="0.35">
      <c r="A117" s="3">
        <v>116</v>
      </c>
      <c r="B117" s="3">
        <v>807</v>
      </c>
      <c r="C117" t="s">
        <v>293</v>
      </c>
      <c r="D117" t="s">
        <v>294</v>
      </c>
      <c r="G117" t="s">
        <v>295</v>
      </c>
      <c r="H117" t="s">
        <v>140</v>
      </c>
      <c r="I117" t="s">
        <v>140</v>
      </c>
      <c r="J117" s="3">
        <v>807</v>
      </c>
      <c r="K117" s="3">
        <v>5310</v>
      </c>
      <c r="L117" t="b">
        <f t="shared" si="3"/>
        <v>1</v>
      </c>
    </row>
    <row r="118" spans="1:12" ht="18.75" customHeight="1" x14ac:dyDescent="0.35">
      <c r="A118" s="3">
        <v>117</v>
      </c>
      <c r="B118" s="3">
        <v>808</v>
      </c>
      <c r="C118" t="s">
        <v>296</v>
      </c>
      <c r="D118" t="s">
        <v>297</v>
      </c>
      <c r="G118" t="s">
        <v>295</v>
      </c>
      <c r="H118" t="s">
        <v>140</v>
      </c>
      <c r="I118" t="s">
        <v>140</v>
      </c>
      <c r="J118" s="3">
        <v>808</v>
      </c>
      <c r="K118" s="3">
        <v>2941</v>
      </c>
      <c r="L118" t="b">
        <f t="shared" si="3"/>
        <v>1</v>
      </c>
    </row>
    <row r="119" spans="1:12" ht="18.75" customHeight="1" x14ac:dyDescent="0.35">
      <c r="A119" s="3">
        <v>118</v>
      </c>
      <c r="B119" s="3">
        <v>810</v>
      </c>
      <c r="C119" s="5" t="s">
        <v>246</v>
      </c>
      <c r="D119" s="5" t="s">
        <v>246</v>
      </c>
      <c r="I119" t="s">
        <v>384</v>
      </c>
      <c r="J119" s="3">
        <v>810</v>
      </c>
      <c r="K119" s="3">
        <v>9</v>
      </c>
      <c r="L119" t="b">
        <f t="shared" si="3"/>
        <v>1</v>
      </c>
    </row>
    <row r="120" spans="1:12" ht="18.75" customHeight="1" x14ac:dyDescent="0.35">
      <c r="A120" s="3">
        <v>119</v>
      </c>
      <c r="B120" s="3">
        <v>830</v>
      </c>
      <c r="C120" s="5" t="s">
        <v>244</v>
      </c>
      <c r="I120" t="s">
        <v>134</v>
      </c>
      <c r="J120" s="3">
        <v>830</v>
      </c>
      <c r="K120" s="3">
        <v>335</v>
      </c>
      <c r="L120" t="b">
        <f t="shared" si="3"/>
        <v>1</v>
      </c>
    </row>
    <row r="121" spans="1:12" ht="18.75" customHeight="1" x14ac:dyDescent="0.35">
      <c r="A121" s="3">
        <v>120</v>
      </c>
      <c r="B121" s="3">
        <v>847</v>
      </c>
      <c r="C121" t="s">
        <v>298</v>
      </c>
      <c r="D121" t="s">
        <v>299</v>
      </c>
      <c r="G121" t="s">
        <v>295</v>
      </c>
      <c r="H121" t="s">
        <v>140</v>
      </c>
      <c r="I121" t="s">
        <v>140</v>
      </c>
      <c r="J121" s="3">
        <v>847</v>
      </c>
      <c r="K121" s="3">
        <v>266</v>
      </c>
      <c r="L121" t="b">
        <f t="shared" si="3"/>
        <v>1</v>
      </c>
    </row>
    <row r="122" spans="1:12" ht="18.75" customHeight="1" x14ac:dyDescent="0.35">
      <c r="A122" s="3">
        <v>121</v>
      </c>
      <c r="B122" s="3">
        <v>848</v>
      </c>
      <c r="C122" t="s">
        <v>132</v>
      </c>
      <c r="D122" t="s">
        <v>133</v>
      </c>
      <c r="E122" t="s">
        <v>77</v>
      </c>
      <c r="J122" s="3">
        <v>848</v>
      </c>
      <c r="K122" s="3">
        <v>523</v>
      </c>
      <c r="L122" t="b">
        <f t="shared" si="3"/>
        <v>1</v>
      </c>
    </row>
    <row r="123" spans="1:12" ht="18.75" customHeight="1" x14ac:dyDescent="0.35">
      <c r="A123" s="3">
        <v>122</v>
      </c>
      <c r="B123" s="3">
        <v>849</v>
      </c>
      <c r="C123" t="s">
        <v>300</v>
      </c>
      <c r="D123" t="s">
        <v>301</v>
      </c>
      <c r="G123" t="s">
        <v>295</v>
      </c>
      <c r="H123" t="s">
        <v>140</v>
      </c>
      <c r="I123" t="s">
        <v>140</v>
      </c>
      <c r="J123" s="3">
        <v>849</v>
      </c>
      <c r="K123" s="3">
        <v>189</v>
      </c>
      <c r="L123" t="b">
        <f t="shared" si="3"/>
        <v>1</v>
      </c>
    </row>
    <row r="124" spans="1:12" ht="18.75" customHeight="1" x14ac:dyDescent="0.35">
      <c r="A124" s="3">
        <v>123</v>
      </c>
      <c r="B124" s="3">
        <v>851</v>
      </c>
      <c r="C124" t="s">
        <v>190</v>
      </c>
      <c r="D124" t="s">
        <v>191</v>
      </c>
      <c r="E124" t="s">
        <v>14</v>
      </c>
      <c r="F124" t="s">
        <v>21</v>
      </c>
      <c r="J124" s="3">
        <v>851</v>
      </c>
      <c r="K124" s="3">
        <v>841349</v>
      </c>
      <c r="L124" t="b">
        <f t="shared" si="3"/>
        <v>1</v>
      </c>
    </row>
    <row r="125" spans="1:12" ht="18.75" customHeight="1" x14ac:dyDescent="0.35">
      <c r="A125" s="3">
        <v>124</v>
      </c>
      <c r="B125" s="3">
        <v>852</v>
      </c>
      <c r="C125" t="s">
        <v>143</v>
      </c>
      <c r="D125" t="s">
        <v>144</v>
      </c>
      <c r="E125" t="s">
        <v>14</v>
      </c>
      <c r="F125" t="s">
        <v>21</v>
      </c>
      <c r="G125" t="s">
        <v>145</v>
      </c>
      <c r="H125" t="s">
        <v>145</v>
      </c>
      <c r="I125" t="s">
        <v>145</v>
      </c>
      <c r="J125" s="3">
        <v>852</v>
      </c>
      <c r="K125" s="3">
        <v>470808</v>
      </c>
      <c r="L125" t="b">
        <f t="shared" si="3"/>
        <v>1</v>
      </c>
    </row>
    <row r="126" spans="1:12" ht="18.75" customHeight="1" x14ac:dyDescent="0.35">
      <c r="A126" s="3">
        <v>125</v>
      </c>
      <c r="B126" s="3">
        <v>857</v>
      </c>
      <c r="C126" t="s">
        <v>146</v>
      </c>
      <c r="D126" t="s">
        <v>147</v>
      </c>
      <c r="E126" t="s">
        <v>14</v>
      </c>
      <c r="F126" t="s">
        <v>21</v>
      </c>
      <c r="G126" t="s">
        <v>145</v>
      </c>
      <c r="H126" t="s">
        <v>145</v>
      </c>
      <c r="I126" t="s">
        <v>145</v>
      </c>
      <c r="J126" s="3">
        <v>857</v>
      </c>
      <c r="K126" s="3">
        <v>83671</v>
      </c>
      <c r="L126" t="b">
        <f t="shared" si="3"/>
        <v>1</v>
      </c>
    </row>
    <row r="127" spans="1:12" ht="18.75" customHeight="1" x14ac:dyDescent="0.35">
      <c r="A127" s="3">
        <v>126</v>
      </c>
      <c r="B127" s="3">
        <v>858</v>
      </c>
      <c r="C127" t="s">
        <v>148</v>
      </c>
      <c r="D127" t="s">
        <v>149</v>
      </c>
      <c r="E127" t="s">
        <v>14</v>
      </c>
      <c r="F127" t="s">
        <v>21</v>
      </c>
      <c r="G127" t="s">
        <v>145</v>
      </c>
      <c r="H127" t="s">
        <v>145</v>
      </c>
      <c r="I127" t="s">
        <v>145</v>
      </c>
      <c r="J127" s="3">
        <v>858</v>
      </c>
      <c r="K127" s="3">
        <v>6194</v>
      </c>
      <c r="L127" t="b">
        <f t="shared" si="3"/>
        <v>1</v>
      </c>
    </row>
    <row r="128" spans="1:12" ht="18.75" customHeight="1" x14ac:dyDescent="0.35">
      <c r="A128" s="3">
        <v>127</v>
      </c>
      <c r="B128" s="3">
        <v>897</v>
      </c>
      <c r="C128" t="s">
        <v>237</v>
      </c>
      <c r="D128" t="s">
        <v>238</v>
      </c>
      <c r="E128" t="s">
        <v>209</v>
      </c>
      <c r="H128" t="s">
        <v>233</v>
      </c>
      <c r="J128" s="3">
        <v>897</v>
      </c>
      <c r="K128" s="3">
        <v>7567</v>
      </c>
      <c r="L128" t="b">
        <f t="shared" si="3"/>
        <v>1</v>
      </c>
    </row>
    <row r="129" spans="1:12" ht="18.75" customHeight="1" x14ac:dyDescent="0.35">
      <c r="A129" s="3">
        <v>128</v>
      </c>
      <c r="B129" s="3">
        <v>898</v>
      </c>
      <c r="C129" t="s">
        <v>235</v>
      </c>
      <c r="D129" t="s">
        <v>236</v>
      </c>
      <c r="E129" t="s">
        <v>209</v>
      </c>
      <c r="H129" t="s">
        <v>233</v>
      </c>
      <c r="J129" s="3">
        <v>898</v>
      </c>
      <c r="K129" s="3">
        <v>97310</v>
      </c>
      <c r="L129" t="b">
        <f t="shared" si="3"/>
        <v>1</v>
      </c>
    </row>
    <row r="130" spans="1:12" ht="18.75" customHeight="1" x14ac:dyDescent="0.35">
      <c r="A130" s="3">
        <v>129</v>
      </c>
      <c r="B130" s="3">
        <v>901</v>
      </c>
      <c r="C130" t="s">
        <v>112</v>
      </c>
      <c r="D130" t="s">
        <v>113</v>
      </c>
      <c r="E130" t="s">
        <v>14</v>
      </c>
      <c r="F130" t="s">
        <v>113</v>
      </c>
      <c r="G130" t="s">
        <v>113</v>
      </c>
      <c r="H130" t="s">
        <v>113</v>
      </c>
      <c r="I130" t="s">
        <v>113</v>
      </c>
      <c r="J130" s="3">
        <v>901</v>
      </c>
      <c r="K130" s="3">
        <v>2386853</v>
      </c>
      <c r="L130" t="b">
        <f t="shared" ref="L130:L144" si="4">J130=B130</f>
        <v>1</v>
      </c>
    </row>
    <row r="131" spans="1:12" ht="18.75" customHeight="1" x14ac:dyDescent="0.35">
      <c r="A131" s="3">
        <v>130</v>
      </c>
      <c r="B131" s="3">
        <v>902</v>
      </c>
      <c r="C131" t="s">
        <v>231</v>
      </c>
      <c r="D131" t="s">
        <v>232</v>
      </c>
      <c r="E131" t="s">
        <v>14</v>
      </c>
      <c r="F131" t="s">
        <v>21</v>
      </c>
      <c r="G131" t="s">
        <v>233</v>
      </c>
      <c r="H131" t="s">
        <v>233</v>
      </c>
      <c r="J131" s="3">
        <v>902</v>
      </c>
      <c r="K131" s="3">
        <v>5718895</v>
      </c>
      <c r="L131" t="b">
        <f t="shared" si="4"/>
        <v>1</v>
      </c>
    </row>
    <row r="132" spans="1:12" ht="18.75" customHeight="1" x14ac:dyDescent="0.35">
      <c r="A132" s="3">
        <v>131</v>
      </c>
      <c r="B132" s="3">
        <v>903</v>
      </c>
      <c r="C132" t="s">
        <v>211</v>
      </c>
      <c r="D132" t="s">
        <v>212</v>
      </c>
      <c r="E132" t="s">
        <v>209</v>
      </c>
      <c r="G132" t="s">
        <v>209</v>
      </c>
      <c r="H132" t="s">
        <v>210</v>
      </c>
      <c r="I132" t="s">
        <v>210</v>
      </c>
      <c r="J132" s="3">
        <v>903</v>
      </c>
      <c r="K132" s="3">
        <v>78256</v>
      </c>
      <c r="L132" t="b">
        <f t="shared" si="4"/>
        <v>1</v>
      </c>
    </row>
    <row r="133" spans="1:12" ht="18.75" customHeight="1" x14ac:dyDescent="0.35">
      <c r="A133" s="3">
        <v>132</v>
      </c>
      <c r="B133" s="3">
        <v>904</v>
      </c>
      <c r="C133" t="s">
        <v>362</v>
      </c>
      <c r="D133" t="s">
        <v>363</v>
      </c>
      <c r="E133" t="s">
        <v>209</v>
      </c>
      <c r="H133" t="s">
        <v>364</v>
      </c>
      <c r="I133" t="s">
        <v>364</v>
      </c>
      <c r="J133" s="3">
        <v>904</v>
      </c>
      <c r="K133" s="3">
        <v>17130</v>
      </c>
      <c r="L133" t="b">
        <f t="shared" si="4"/>
        <v>1</v>
      </c>
    </row>
    <row r="134" spans="1:12" ht="18.75" customHeight="1" x14ac:dyDescent="0.35">
      <c r="A134" s="3">
        <v>133</v>
      </c>
      <c r="B134" s="3">
        <v>905</v>
      </c>
      <c r="C134" t="s">
        <v>213</v>
      </c>
      <c r="D134" t="s">
        <v>214</v>
      </c>
      <c r="E134" t="s">
        <v>77</v>
      </c>
      <c r="H134" t="s">
        <v>210</v>
      </c>
      <c r="I134" t="s">
        <v>210</v>
      </c>
      <c r="J134" s="3">
        <v>905</v>
      </c>
      <c r="K134" s="3">
        <v>5248</v>
      </c>
      <c r="L134" t="b">
        <f t="shared" si="4"/>
        <v>1</v>
      </c>
    </row>
    <row r="135" spans="1:12" ht="18.75" customHeight="1" x14ac:dyDescent="0.35">
      <c r="A135" s="3">
        <v>134</v>
      </c>
      <c r="B135" s="3">
        <v>906</v>
      </c>
      <c r="C135" t="s">
        <v>360</v>
      </c>
      <c r="D135" t="s">
        <v>361</v>
      </c>
      <c r="E135" t="s">
        <v>77</v>
      </c>
      <c r="H135" t="s">
        <v>233</v>
      </c>
      <c r="I135" t="s">
        <v>385</v>
      </c>
      <c r="J135" s="3">
        <v>906</v>
      </c>
      <c r="K135" s="3">
        <v>784</v>
      </c>
      <c r="L135" t="b">
        <f t="shared" si="4"/>
        <v>1</v>
      </c>
    </row>
    <row r="136" spans="1:12" ht="18.75" customHeight="1" x14ac:dyDescent="0.35">
      <c r="A136" s="3">
        <v>135</v>
      </c>
      <c r="B136" s="3">
        <v>907</v>
      </c>
      <c r="C136" t="s">
        <v>254</v>
      </c>
      <c r="D136" t="s">
        <v>255</v>
      </c>
      <c r="E136" t="s">
        <v>93</v>
      </c>
      <c r="I136" t="s">
        <v>256</v>
      </c>
      <c r="J136" s="3">
        <v>907</v>
      </c>
      <c r="K136" s="3">
        <v>10534</v>
      </c>
      <c r="L136" t="b">
        <f t="shared" si="4"/>
        <v>1</v>
      </c>
    </row>
    <row r="137" spans="1:12" ht="18.75" customHeight="1" x14ac:dyDescent="0.35">
      <c r="A137" s="3">
        <v>136</v>
      </c>
      <c r="B137" s="3">
        <v>908</v>
      </c>
      <c r="C137" t="s">
        <v>40</v>
      </c>
      <c r="D137" t="s">
        <v>41</v>
      </c>
      <c r="E137" t="s">
        <v>14</v>
      </c>
      <c r="F137" t="s">
        <v>37</v>
      </c>
      <c r="G137" t="s">
        <v>38</v>
      </c>
      <c r="H137" t="s">
        <v>39</v>
      </c>
      <c r="I137" t="s">
        <v>34</v>
      </c>
      <c r="J137" s="3">
        <v>908</v>
      </c>
      <c r="K137" s="3">
        <v>9678</v>
      </c>
      <c r="L137" t="b">
        <f t="shared" si="4"/>
        <v>1</v>
      </c>
    </row>
    <row r="138" spans="1:12" ht="18.75" customHeight="1" x14ac:dyDescent="0.35">
      <c r="A138" s="3">
        <v>137</v>
      </c>
      <c r="B138" s="3">
        <v>909</v>
      </c>
      <c r="C138" t="s">
        <v>121</v>
      </c>
      <c r="D138" t="s">
        <v>122</v>
      </c>
      <c r="E138" t="s">
        <v>14</v>
      </c>
      <c r="F138" t="s">
        <v>21</v>
      </c>
      <c r="G138" t="s">
        <v>120</v>
      </c>
      <c r="H138" t="s">
        <v>120</v>
      </c>
      <c r="I138" t="s">
        <v>120</v>
      </c>
      <c r="J138" s="3">
        <v>909</v>
      </c>
      <c r="K138" s="3">
        <v>9819</v>
      </c>
      <c r="L138" t="b">
        <f t="shared" si="4"/>
        <v>1</v>
      </c>
    </row>
    <row r="139" spans="1:12" ht="18.75" customHeight="1" x14ac:dyDescent="0.35">
      <c r="A139" s="3">
        <v>138</v>
      </c>
      <c r="B139" s="3">
        <v>911</v>
      </c>
      <c r="C139" t="s">
        <v>75</v>
      </c>
      <c r="D139" t="s">
        <v>76</v>
      </c>
      <c r="E139" t="s">
        <v>77</v>
      </c>
      <c r="J139" s="3">
        <v>911</v>
      </c>
      <c r="K139" s="3">
        <v>300</v>
      </c>
      <c r="L139" t="b">
        <f t="shared" si="4"/>
        <v>1</v>
      </c>
    </row>
    <row r="140" spans="1:12" ht="18.75" customHeight="1" x14ac:dyDescent="0.35">
      <c r="A140" s="3">
        <v>139</v>
      </c>
      <c r="B140" s="3">
        <v>930</v>
      </c>
      <c r="C140" t="s">
        <v>326</v>
      </c>
      <c r="D140" t="s">
        <v>327</v>
      </c>
      <c r="E140" t="s">
        <v>14</v>
      </c>
      <c r="F140" t="s">
        <v>37</v>
      </c>
      <c r="G140" t="s">
        <v>116</v>
      </c>
      <c r="H140" t="s">
        <v>116</v>
      </c>
      <c r="I140" t="s">
        <v>328</v>
      </c>
      <c r="J140" s="3">
        <v>930</v>
      </c>
      <c r="K140" s="3">
        <v>33352007</v>
      </c>
      <c r="L140" t="b">
        <f t="shared" si="4"/>
        <v>1</v>
      </c>
    </row>
    <row r="141" spans="1:12" ht="18.75" customHeight="1" x14ac:dyDescent="0.35">
      <c r="A141" s="3">
        <v>140</v>
      </c>
      <c r="B141" s="6">
        <v>933</v>
      </c>
      <c r="C141" s="5" t="s">
        <v>249</v>
      </c>
      <c r="I141" t="s">
        <v>116</v>
      </c>
      <c r="J141" s="3">
        <v>933</v>
      </c>
      <c r="K141" s="3">
        <v>182521</v>
      </c>
      <c r="L141" t="b">
        <f t="shared" si="4"/>
        <v>1</v>
      </c>
    </row>
    <row r="142" spans="1:12" ht="18.75" customHeight="1" x14ac:dyDescent="0.35">
      <c r="A142" s="3">
        <v>141</v>
      </c>
      <c r="B142" s="6">
        <v>935</v>
      </c>
      <c r="C142" s="5" t="s">
        <v>184</v>
      </c>
      <c r="I142" t="s">
        <v>107</v>
      </c>
      <c r="J142" s="3">
        <v>935</v>
      </c>
      <c r="K142" s="3">
        <v>3058</v>
      </c>
      <c r="L142" t="b">
        <f t="shared" si="4"/>
        <v>1</v>
      </c>
    </row>
    <row r="143" spans="1:12" ht="18.75" customHeight="1" x14ac:dyDescent="0.35">
      <c r="A143" s="3">
        <v>142</v>
      </c>
      <c r="B143" s="6">
        <v>936</v>
      </c>
      <c r="C143" s="5" t="s">
        <v>192</v>
      </c>
      <c r="I143" t="s">
        <v>107</v>
      </c>
      <c r="J143" s="3">
        <v>936</v>
      </c>
      <c r="K143" s="3">
        <v>29819</v>
      </c>
      <c r="L143" t="b">
        <f t="shared" si="4"/>
        <v>1</v>
      </c>
    </row>
    <row r="144" spans="1:12" ht="18.75" customHeight="1" x14ac:dyDescent="0.35">
      <c r="A144" s="3">
        <v>143</v>
      </c>
      <c r="B144" s="3">
        <v>998</v>
      </c>
      <c r="C144" t="s">
        <v>207</v>
      </c>
      <c r="D144" t="s">
        <v>208</v>
      </c>
      <c r="E144" t="s">
        <v>209</v>
      </c>
      <c r="G144" t="s">
        <v>209</v>
      </c>
      <c r="H144" t="s">
        <v>210</v>
      </c>
      <c r="I144" t="s">
        <v>210</v>
      </c>
      <c r="J144" s="3">
        <v>998</v>
      </c>
      <c r="K144" s="3">
        <v>88951</v>
      </c>
      <c r="L144" t="b">
        <f t="shared" si="4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144"/>
  <sheetViews>
    <sheetView topLeftCell="A63" workbookViewId="0">
      <selection activeCell="C73" sqref="A1:M144"/>
    </sheetView>
  </sheetViews>
  <sheetFormatPr baseColWidth="10" defaultColWidth="8.7265625" defaultRowHeight="14.5" x14ac:dyDescent="0.35"/>
  <cols>
    <col min="1" max="2" width="13.54296875" style="1" bestFit="1" customWidth="1"/>
    <col min="3" max="3" width="39.7265625" bestFit="1" customWidth="1"/>
    <col min="4" max="5" width="37.36328125" customWidth="1"/>
    <col min="6" max="8" width="13.54296875" bestFit="1" customWidth="1"/>
    <col min="9" max="9" width="17.453125" bestFit="1" customWidth="1"/>
    <col min="10" max="11" width="13.54296875" style="1" bestFit="1" customWidth="1"/>
    <col min="12" max="12" width="13.54296875" bestFit="1" customWidth="1"/>
    <col min="13" max="13" width="13.54296875" style="2" bestFit="1" customWidth="1"/>
  </cols>
  <sheetData>
    <row r="1" spans="1:13" ht="18.75" customHeigh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</row>
    <row r="2" spans="1:13" ht="18.75" customHeight="1" x14ac:dyDescent="0.35">
      <c r="A2" s="3">
        <v>85</v>
      </c>
      <c r="B2" s="3">
        <v>702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s="3">
        <v>702</v>
      </c>
      <c r="K2" s="3">
        <v>361513</v>
      </c>
      <c r="L2" t="s">
        <v>18</v>
      </c>
      <c r="M2" s="4">
        <f t="shared" ref="M2:M33" si="0">K2/SUM($K$1:$K$3000)</f>
        <v>2.4765741635426647E-3</v>
      </c>
    </row>
    <row r="3" spans="1:13" ht="18.75" customHeight="1" x14ac:dyDescent="0.35">
      <c r="A3" s="3">
        <v>93</v>
      </c>
      <c r="B3" s="3">
        <v>710</v>
      </c>
      <c r="C3" t="s">
        <v>19</v>
      </c>
      <c r="D3" t="s">
        <v>20</v>
      </c>
      <c r="E3" t="s">
        <v>14</v>
      </c>
      <c r="F3" t="s">
        <v>21</v>
      </c>
      <c r="I3" t="s">
        <v>22</v>
      </c>
      <c r="J3" s="3">
        <v>710</v>
      </c>
      <c r="K3" s="3">
        <v>37968</v>
      </c>
      <c r="L3" t="s">
        <v>18</v>
      </c>
      <c r="M3" s="4">
        <f t="shared" si="0"/>
        <v>2.6010286723129704E-4</v>
      </c>
    </row>
    <row r="4" spans="1:13" ht="18.75" customHeight="1" x14ac:dyDescent="0.35">
      <c r="A4" s="3">
        <v>18</v>
      </c>
      <c r="B4" s="3">
        <v>523</v>
      </c>
      <c r="C4" t="s">
        <v>23</v>
      </c>
      <c r="D4" t="s">
        <v>24</v>
      </c>
      <c r="E4" t="s">
        <v>14</v>
      </c>
      <c r="F4" t="s">
        <v>25</v>
      </c>
      <c r="G4" t="s">
        <v>26</v>
      </c>
      <c r="H4" t="s">
        <v>27</v>
      </c>
      <c r="I4" t="s">
        <v>27</v>
      </c>
      <c r="J4" s="3">
        <v>523</v>
      </c>
      <c r="K4" s="3">
        <v>34979</v>
      </c>
      <c r="L4" t="s">
        <v>18</v>
      </c>
      <c r="M4" s="4">
        <f t="shared" si="0"/>
        <v>2.3962648000641434E-4</v>
      </c>
    </row>
    <row r="5" spans="1:13" ht="18.75" customHeight="1" x14ac:dyDescent="0.35">
      <c r="A5" s="3">
        <v>88</v>
      </c>
      <c r="B5" s="3">
        <v>705</v>
      </c>
      <c r="C5" t="s">
        <v>28</v>
      </c>
      <c r="D5" t="s">
        <v>29</v>
      </c>
      <c r="E5" t="s">
        <v>14</v>
      </c>
      <c r="F5" t="s">
        <v>21</v>
      </c>
      <c r="G5" t="s">
        <v>30</v>
      </c>
      <c r="H5" t="s">
        <v>30</v>
      </c>
      <c r="I5" t="s">
        <v>30</v>
      </c>
      <c r="J5" s="3">
        <v>705</v>
      </c>
      <c r="K5" s="3">
        <v>58225</v>
      </c>
      <c r="L5" t="s">
        <v>18</v>
      </c>
      <c r="M5" s="4">
        <f t="shared" si="0"/>
        <v>3.9887509072224691E-4</v>
      </c>
    </row>
    <row r="6" spans="1:13" ht="18.75" customHeight="1" x14ac:dyDescent="0.35">
      <c r="A6" s="3">
        <v>40</v>
      </c>
      <c r="B6" s="3">
        <v>551</v>
      </c>
      <c r="C6" t="s">
        <v>31</v>
      </c>
      <c r="D6" t="s">
        <v>32</v>
      </c>
      <c r="E6" t="s">
        <v>14</v>
      </c>
      <c r="F6" t="s">
        <v>21</v>
      </c>
      <c r="G6" t="s">
        <v>30</v>
      </c>
      <c r="H6" t="s">
        <v>30</v>
      </c>
      <c r="I6" t="s">
        <v>30</v>
      </c>
      <c r="J6" s="3">
        <v>551</v>
      </c>
      <c r="K6" s="3">
        <v>50842</v>
      </c>
      <c r="L6" t="s">
        <v>18</v>
      </c>
      <c r="M6" s="4">
        <f t="shared" si="0"/>
        <v>3.4829724967798159E-4</v>
      </c>
    </row>
    <row r="7" spans="1:13" ht="18.75" customHeight="1" x14ac:dyDescent="0.35">
      <c r="A7" s="3">
        <v>81</v>
      </c>
      <c r="B7" s="3">
        <v>694</v>
      </c>
      <c r="C7" t="s">
        <v>33</v>
      </c>
      <c r="I7" t="s">
        <v>34</v>
      </c>
      <c r="J7" s="3">
        <v>694</v>
      </c>
      <c r="K7" s="3">
        <v>339877</v>
      </c>
      <c r="L7" t="s">
        <v>18</v>
      </c>
      <c r="M7" s="4">
        <f t="shared" si="0"/>
        <v>2.328354988568572E-3</v>
      </c>
    </row>
    <row r="8" spans="1:13" ht="18.75" customHeight="1" x14ac:dyDescent="0.35">
      <c r="A8" s="3">
        <v>44</v>
      </c>
      <c r="B8" s="3">
        <v>555</v>
      </c>
      <c r="C8" t="s">
        <v>35</v>
      </c>
      <c r="D8" t="s">
        <v>36</v>
      </c>
      <c r="E8" t="s">
        <v>14</v>
      </c>
      <c r="F8" t="s">
        <v>37</v>
      </c>
      <c r="G8" t="s">
        <v>38</v>
      </c>
      <c r="H8" t="s">
        <v>39</v>
      </c>
      <c r="I8" t="s">
        <v>34</v>
      </c>
      <c r="J8" s="3">
        <v>555</v>
      </c>
      <c r="K8" s="3">
        <v>42456</v>
      </c>
      <c r="L8" t="s">
        <v>18</v>
      </c>
      <c r="M8" s="4">
        <f t="shared" si="0"/>
        <v>2.9084827568404836E-4</v>
      </c>
    </row>
    <row r="9" spans="1:13" ht="18.75" customHeight="1" x14ac:dyDescent="0.35">
      <c r="A9" s="3">
        <v>136</v>
      </c>
      <c r="B9" s="3">
        <v>908</v>
      </c>
      <c r="C9" t="s">
        <v>40</v>
      </c>
      <c r="D9" t="s">
        <v>41</v>
      </c>
      <c r="E9" t="s">
        <v>14</v>
      </c>
      <c r="F9" t="s">
        <v>37</v>
      </c>
      <c r="G9" t="s">
        <v>38</v>
      </c>
      <c r="H9" t="s">
        <v>39</v>
      </c>
      <c r="I9" t="s">
        <v>34</v>
      </c>
      <c r="J9" s="3">
        <v>908</v>
      </c>
      <c r="K9" s="3">
        <v>9678</v>
      </c>
      <c r="L9" t="s">
        <v>18</v>
      </c>
      <c r="M9" s="4">
        <f t="shared" si="0"/>
        <v>6.6299924912149511E-5</v>
      </c>
    </row>
    <row r="10" spans="1:13" ht="18.75" customHeight="1" x14ac:dyDescent="0.35">
      <c r="A10" s="3">
        <v>80</v>
      </c>
      <c r="B10" s="3">
        <v>693</v>
      </c>
      <c r="C10" t="s">
        <v>42</v>
      </c>
      <c r="I10" t="s">
        <v>34</v>
      </c>
      <c r="J10" s="3">
        <v>693</v>
      </c>
      <c r="K10" s="3">
        <v>2524</v>
      </c>
      <c r="L10" t="s">
        <v>18</v>
      </c>
      <c r="M10" s="4">
        <f t="shared" si="0"/>
        <v>1.7290866964069578E-5</v>
      </c>
    </row>
    <row r="11" spans="1:13" ht="18.75" customHeight="1" x14ac:dyDescent="0.35">
      <c r="A11" s="3">
        <v>38</v>
      </c>
      <c r="B11" s="3">
        <v>548</v>
      </c>
      <c r="C11" t="s">
        <v>43</v>
      </c>
      <c r="D11" t="s">
        <v>44</v>
      </c>
      <c r="E11" t="s">
        <v>14</v>
      </c>
      <c r="F11" t="s">
        <v>25</v>
      </c>
      <c r="G11" t="s">
        <v>45</v>
      </c>
      <c r="H11" t="s">
        <v>46</v>
      </c>
      <c r="I11" t="s">
        <v>46</v>
      </c>
      <c r="J11" s="3">
        <v>548</v>
      </c>
      <c r="K11" s="3">
        <v>8219</v>
      </c>
      <c r="L11" t="s">
        <v>18</v>
      </c>
      <c r="M11" s="4">
        <f t="shared" si="0"/>
        <v>5.6304926932522927E-5</v>
      </c>
    </row>
    <row r="12" spans="1:13" ht="18.75" customHeight="1" x14ac:dyDescent="0.35">
      <c r="A12" s="3">
        <v>102</v>
      </c>
      <c r="B12" s="3">
        <v>720</v>
      </c>
      <c r="C12" t="s">
        <v>47</v>
      </c>
      <c r="D12" t="s">
        <v>48</v>
      </c>
      <c r="E12" t="s">
        <v>14</v>
      </c>
      <c r="F12" t="s">
        <v>15</v>
      </c>
      <c r="G12" t="s">
        <v>16</v>
      </c>
      <c r="H12" t="s">
        <v>49</v>
      </c>
      <c r="I12" t="s">
        <v>49</v>
      </c>
      <c r="J12" s="3">
        <v>720</v>
      </c>
      <c r="K12" s="3">
        <v>37517</v>
      </c>
      <c r="L12" t="s">
        <v>18</v>
      </c>
      <c r="M12" s="4">
        <f t="shared" si="0"/>
        <v>2.5701325510736861E-4</v>
      </c>
    </row>
    <row r="13" spans="1:13" ht="18.75" customHeight="1" x14ac:dyDescent="0.35">
      <c r="A13" s="3">
        <v>37</v>
      </c>
      <c r="B13" s="3">
        <v>547</v>
      </c>
      <c r="C13" t="s">
        <v>50</v>
      </c>
      <c r="D13" t="s">
        <v>51</v>
      </c>
      <c r="E13" t="s">
        <v>14</v>
      </c>
      <c r="F13" t="s">
        <v>25</v>
      </c>
      <c r="G13" t="s">
        <v>52</v>
      </c>
      <c r="H13" t="s">
        <v>53</v>
      </c>
      <c r="I13" t="s">
        <v>53</v>
      </c>
      <c r="J13" s="3">
        <v>547</v>
      </c>
      <c r="K13" s="3">
        <v>38028</v>
      </c>
      <c r="L13" t="s">
        <v>18</v>
      </c>
      <c r="M13" s="4">
        <f t="shared" si="0"/>
        <v>2.6051390210366003E-4</v>
      </c>
    </row>
    <row r="14" spans="1:13" ht="18.75" customHeight="1" x14ac:dyDescent="0.35">
      <c r="A14" s="3">
        <v>51</v>
      </c>
      <c r="B14" s="3">
        <v>569</v>
      </c>
      <c r="C14" t="s">
        <v>54</v>
      </c>
      <c r="D14" t="s">
        <v>55</v>
      </c>
      <c r="E14" t="s">
        <v>14</v>
      </c>
      <c r="F14" t="s">
        <v>25</v>
      </c>
      <c r="G14" t="s">
        <v>56</v>
      </c>
      <c r="H14" t="s">
        <v>57</v>
      </c>
      <c r="I14" t="s">
        <v>58</v>
      </c>
      <c r="J14" s="3">
        <v>569</v>
      </c>
      <c r="K14" s="3">
        <v>82556</v>
      </c>
      <c r="L14" t="s">
        <v>18</v>
      </c>
      <c r="M14" s="4">
        <f t="shared" si="0"/>
        <v>5.6555658204664346E-4</v>
      </c>
    </row>
    <row r="15" spans="1:13" ht="18.75" customHeight="1" x14ac:dyDescent="0.35">
      <c r="A15" s="3">
        <v>89</v>
      </c>
      <c r="B15" s="3">
        <v>706</v>
      </c>
      <c r="C15" t="s">
        <v>59</v>
      </c>
      <c r="D15" t="s">
        <v>60</v>
      </c>
      <c r="E15" t="s">
        <v>14</v>
      </c>
      <c r="F15" t="s">
        <v>21</v>
      </c>
      <c r="I15" t="s">
        <v>61</v>
      </c>
      <c r="J15" s="3">
        <v>706</v>
      </c>
      <c r="K15" s="3">
        <v>16681</v>
      </c>
      <c r="L15" t="s">
        <v>18</v>
      </c>
      <c r="M15" s="4">
        <f t="shared" si="0"/>
        <v>1.1427454509811595E-4</v>
      </c>
    </row>
    <row r="16" spans="1:13" ht="18.75" customHeight="1" x14ac:dyDescent="0.35">
      <c r="A16" s="3">
        <v>42</v>
      </c>
      <c r="B16" s="3">
        <v>553</v>
      </c>
      <c r="C16" t="s">
        <v>62</v>
      </c>
      <c r="D16" t="s">
        <v>63</v>
      </c>
      <c r="E16" t="s">
        <v>14</v>
      </c>
      <c r="F16" t="s">
        <v>21</v>
      </c>
      <c r="I16" t="s">
        <v>61</v>
      </c>
      <c r="J16" s="3">
        <v>553</v>
      </c>
      <c r="K16" s="3">
        <v>13606</v>
      </c>
      <c r="L16" t="s">
        <v>18</v>
      </c>
      <c r="M16" s="4">
        <f t="shared" si="0"/>
        <v>9.3209007889512945E-5</v>
      </c>
    </row>
    <row r="17" spans="1:13" ht="18.75" customHeight="1" x14ac:dyDescent="0.35">
      <c r="A17" s="3">
        <v>92</v>
      </c>
      <c r="B17" s="3">
        <v>709</v>
      </c>
      <c r="C17" t="s">
        <v>64</v>
      </c>
      <c r="D17" t="s">
        <v>65</v>
      </c>
      <c r="E17" t="s">
        <v>14</v>
      </c>
      <c r="F17" t="s">
        <v>21</v>
      </c>
      <c r="I17" t="s">
        <v>61</v>
      </c>
      <c r="J17" s="3">
        <v>709</v>
      </c>
      <c r="K17" s="3">
        <v>7691</v>
      </c>
      <c r="L17" t="s">
        <v>18</v>
      </c>
      <c r="M17" s="4">
        <f t="shared" si="0"/>
        <v>5.2687820055728658E-5</v>
      </c>
    </row>
    <row r="18" spans="1:13" ht="18.75" customHeight="1" x14ac:dyDescent="0.35">
      <c r="A18" s="3">
        <v>90</v>
      </c>
      <c r="B18" s="3">
        <v>707</v>
      </c>
      <c r="C18" t="s">
        <v>66</v>
      </c>
      <c r="D18" t="s">
        <v>67</v>
      </c>
      <c r="E18" t="s">
        <v>14</v>
      </c>
      <c r="F18" t="s">
        <v>21</v>
      </c>
      <c r="I18" t="s">
        <v>61</v>
      </c>
      <c r="J18" s="3">
        <v>707</v>
      </c>
      <c r="K18" s="3">
        <v>5195</v>
      </c>
      <c r="L18" t="s">
        <v>18</v>
      </c>
      <c r="M18" s="4">
        <f t="shared" si="0"/>
        <v>3.5588769365428468E-5</v>
      </c>
    </row>
    <row r="19" spans="1:13" ht="18.75" customHeight="1" x14ac:dyDescent="0.35">
      <c r="A19" s="3">
        <v>54</v>
      </c>
      <c r="B19" s="3">
        <v>574</v>
      </c>
      <c r="C19" t="s">
        <v>68</v>
      </c>
      <c r="D19" t="s">
        <v>68</v>
      </c>
      <c r="E19" t="s">
        <v>14</v>
      </c>
      <c r="F19" t="s">
        <v>25</v>
      </c>
      <c r="I19" t="s">
        <v>61</v>
      </c>
      <c r="J19" s="3">
        <v>574</v>
      </c>
      <c r="K19" s="3">
        <v>4086</v>
      </c>
      <c r="L19" t="s">
        <v>18</v>
      </c>
      <c r="M19" s="4">
        <f t="shared" si="0"/>
        <v>2.7991474807919294E-5</v>
      </c>
    </row>
    <row r="20" spans="1:13" ht="18.75" customHeight="1" x14ac:dyDescent="0.35">
      <c r="A20" s="3">
        <v>100</v>
      </c>
      <c r="B20" s="3">
        <v>718</v>
      </c>
      <c r="C20" t="s">
        <v>69</v>
      </c>
      <c r="D20" t="s">
        <v>70</v>
      </c>
      <c r="E20" t="s">
        <v>14</v>
      </c>
      <c r="F20" t="s">
        <v>21</v>
      </c>
      <c r="I20" t="s">
        <v>61</v>
      </c>
      <c r="J20" s="3">
        <v>718</v>
      </c>
      <c r="K20" s="3">
        <v>3700</v>
      </c>
      <c r="L20" t="s">
        <v>18</v>
      </c>
      <c r="M20" s="4">
        <f t="shared" si="0"/>
        <v>2.5347150462384088E-5</v>
      </c>
    </row>
    <row r="21" spans="1:13" ht="18.75" customHeight="1" x14ac:dyDescent="0.35">
      <c r="A21" s="3">
        <v>48</v>
      </c>
      <c r="B21" s="3">
        <v>566</v>
      </c>
      <c r="C21" t="s">
        <v>71</v>
      </c>
      <c r="D21" t="s">
        <v>72</v>
      </c>
      <c r="E21" t="s">
        <v>14</v>
      </c>
      <c r="F21" t="s">
        <v>21</v>
      </c>
      <c r="I21" t="s">
        <v>61</v>
      </c>
      <c r="J21" s="3">
        <v>566</v>
      </c>
      <c r="K21" s="3">
        <v>1143</v>
      </c>
      <c r="L21" t="s">
        <v>18</v>
      </c>
      <c r="M21" s="4">
        <f t="shared" si="0"/>
        <v>7.8302143185148678E-6</v>
      </c>
    </row>
    <row r="22" spans="1:13" ht="18.75" customHeight="1" x14ac:dyDescent="0.35">
      <c r="A22" s="3">
        <v>49</v>
      </c>
      <c r="B22" s="3">
        <v>567</v>
      </c>
      <c r="C22" t="s">
        <v>73</v>
      </c>
      <c r="D22" t="s">
        <v>74</v>
      </c>
      <c r="E22" t="s">
        <v>14</v>
      </c>
      <c r="F22" t="s">
        <v>21</v>
      </c>
      <c r="I22" t="s">
        <v>61</v>
      </c>
      <c r="J22" s="3">
        <v>567</v>
      </c>
      <c r="K22" s="3">
        <v>374</v>
      </c>
      <c r="L22" t="s">
        <v>18</v>
      </c>
      <c r="M22" s="4">
        <f t="shared" si="0"/>
        <v>2.562117371062608E-6</v>
      </c>
    </row>
    <row r="23" spans="1:13" ht="18.75" customHeight="1" x14ac:dyDescent="0.35">
      <c r="A23" s="3">
        <v>138</v>
      </c>
      <c r="B23" s="3">
        <v>911</v>
      </c>
      <c r="C23" t="s">
        <v>75</v>
      </c>
      <c r="D23" t="s">
        <v>76</v>
      </c>
      <c r="E23" t="s">
        <v>77</v>
      </c>
      <c r="I23" t="s">
        <v>61</v>
      </c>
      <c r="J23" s="3">
        <v>911</v>
      </c>
      <c r="K23" s="3">
        <v>300</v>
      </c>
      <c r="L23" t="s">
        <v>18</v>
      </c>
      <c r="M23" s="4">
        <f t="shared" si="0"/>
        <v>2.055174361814926E-6</v>
      </c>
    </row>
    <row r="24" spans="1:13" ht="18.75" customHeight="1" x14ac:dyDescent="0.35">
      <c r="A24" s="3">
        <v>101</v>
      </c>
      <c r="B24" s="3">
        <v>719</v>
      </c>
      <c r="C24" t="s">
        <v>78</v>
      </c>
      <c r="D24" t="s">
        <v>79</v>
      </c>
      <c r="E24" t="s">
        <v>14</v>
      </c>
      <c r="F24" t="s">
        <v>21</v>
      </c>
      <c r="I24" t="s">
        <v>61</v>
      </c>
      <c r="J24" s="3">
        <v>719</v>
      </c>
      <c r="K24" s="3">
        <v>62</v>
      </c>
      <c r="L24" t="s">
        <v>18</v>
      </c>
      <c r="M24" s="4">
        <f t="shared" si="0"/>
        <v>4.2473603477508474E-7</v>
      </c>
    </row>
    <row r="25" spans="1:13" ht="18.75" customHeight="1" x14ac:dyDescent="0.35">
      <c r="A25" s="3">
        <v>41</v>
      </c>
      <c r="B25" s="3">
        <v>552</v>
      </c>
      <c r="C25" t="s">
        <v>80</v>
      </c>
      <c r="D25" t="s">
        <v>81</v>
      </c>
      <c r="E25" t="s">
        <v>14</v>
      </c>
      <c r="F25" t="s">
        <v>21</v>
      </c>
      <c r="I25" t="s">
        <v>61</v>
      </c>
      <c r="J25" s="3">
        <v>552</v>
      </c>
      <c r="K25" s="3">
        <v>26</v>
      </c>
      <c r="L25" t="s">
        <v>18</v>
      </c>
      <c r="M25" s="4">
        <f t="shared" si="0"/>
        <v>1.7811511135729359E-7</v>
      </c>
    </row>
    <row r="26" spans="1:13" ht="18.75" customHeight="1" x14ac:dyDescent="0.35">
      <c r="A26" s="3">
        <v>94</v>
      </c>
      <c r="B26" s="3">
        <v>711</v>
      </c>
      <c r="C26" t="s">
        <v>82</v>
      </c>
      <c r="D26" t="s">
        <v>83</v>
      </c>
      <c r="I26" t="s">
        <v>61</v>
      </c>
      <c r="J26" s="3">
        <v>711</v>
      </c>
      <c r="K26" s="3">
        <v>11</v>
      </c>
      <c r="L26" t="s">
        <v>18</v>
      </c>
      <c r="M26" s="4">
        <f t="shared" si="0"/>
        <v>7.5356393266547292E-8</v>
      </c>
    </row>
    <row r="27" spans="1:13" ht="18.75" customHeight="1" x14ac:dyDescent="0.35">
      <c r="A27" s="3">
        <v>9</v>
      </c>
      <c r="B27" s="3">
        <v>511</v>
      </c>
      <c r="C27" t="s">
        <v>84</v>
      </c>
      <c r="D27" t="s">
        <v>85</v>
      </c>
      <c r="E27" t="s">
        <v>14</v>
      </c>
      <c r="F27" t="s">
        <v>25</v>
      </c>
      <c r="G27" t="s">
        <v>45</v>
      </c>
      <c r="H27" t="s">
        <v>86</v>
      </c>
      <c r="I27" t="s">
        <v>87</v>
      </c>
      <c r="J27" s="3">
        <v>511</v>
      </c>
      <c r="K27" s="3">
        <v>38234</v>
      </c>
      <c r="L27" t="s">
        <v>18</v>
      </c>
      <c r="M27" s="4">
        <f t="shared" si="0"/>
        <v>2.6192512183210629E-4</v>
      </c>
    </row>
    <row r="28" spans="1:13" ht="18.75" customHeight="1" x14ac:dyDescent="0.35">
      <c r="A28" s="3">
        <v>46</v>
      </c>
      <c r="B28" s="3">
        <v>557</v>
      </c>
      <c r="C28" t="s">
        <v>88</v>
      </c>
      <c r="D28" t="s">
        <v>89</v>
      </c>
      <c r="E28" t="s">
        <v>14</v>
      </c>
      <c r="F28" t="s">
        <v>21</v>
      </c>
      <c r="G28" t="s">
        <v>90</v>
      </c>
      <c r="H28" t="s">
        <v>90</v>
      </c>
      <c r="I28" t="s">
        <v>90</v>
      </c>
      <c r="J28" s="3">
        <v>557</v>
      </c>
      <c r="K28" s="3">
        <v>57512</v>
      </c>
      <c r="L28" t="s">
        <v>18</v>
      </c>
      <c r="M28" s="4">
        <f t="shared" si="0"/>
        <v>3.9399062632233345E-4</v>
      </c>
    </row>
    <row r="29" spans="1:13" ht="18.75" customHeight="1" x14ac:dyDescent="0.35">
      <c r="A29" s="3">
        <v>62</v>
      </c>
      <c r="B29" s="3">
        <v>597</v>
      </c>
      <c r="C29" t="s">
        <v>91</v>
      </c>
      <c r="D29" t="s">
        <v>92</v>
      </c>
      <c r="E29" t="s">
        <v>93</v>
      </c>
      <c r="I29" t="s">
        <v>90</v>
      </c>
      <c r="J29" s="3">
        <v>597</v>
      </c>
      <c r="K29" s="3">
        <v>41281</v>
      </c>
      <c r="L29" t="s">
        <v>18</v>
      </c>
      <c r="M29" s="4">
        <f t="shared" si="0"/>
        <v>2.8279884276693991E-4</v>
      </c>
    </row>
    <row r="30" spans="1:13" ht="18.75" customHeight="1" x14ac:dyDescent="0.35">
      <c r="A30" s="3">
        <v>63</v>
      </c>
      <c r="B30" s="3">
        <v>598</v>
      </c>
      <c r="C30" t="s">
        <v>94</v>
      </c>
      <c r="D30" t="s">
        <v>95</v>
      </c>
      <c r="E30" t="s">
        <v>93</v>
      </c>
      <c r="I30" t="s">
        <v>90</v>
      </c>
      <c r="J30" s="3">
        <v>598</v>
      </c>
      <c r="K30" s="3">
        <v>27415</v>
      </c>
      <c r="L30" t="s">
        <v>18</v>
      </c>
      <c r="M30" s="4">
        <f t="shared" si="0"/>
        <v>1.87808683763854E-4</v>
      </c>
    </row>
    <row r="31" spans="1:13" ht="18.75" customHeight="1" x14ac:dyDescent="0.35">
      <c r="A31" s="3">
        <v>60</v>
      </c>
      <c r="B31" s="3">
        <v>594</v>
      </c>
      <c r="C31" t="s">
        <v>96</v>
      </c>
      <c r="D31" t="s">
        <v>97</v>
      </c>
      <c r="E31" t="s">
        <v>93</v>
      </c>
      <c r="I31" t="s">
        <v>90</v>
      </c>
      <c r="J31" s="3">
        <v>594</v>
      </c>
      <c r="K31" s="3">
        <v>1850</v>
      </c>
      <c r="L31" t="s">
        <v>18</v>
      </c>
      <c r="M31" s="4">
        <f t="shared" si="0"/>
        <v>1.2673575231192044E-5</v>
      </c>
    </row>
    <row r="32" spans="1:13" ht="18.75" customHeight="1" x14ac:dyDescent="0.35">
      <c r="A32" s="3">
        <v>61</v>
      </c>
      <c r="B32" s="3">
        <v>595</v>
      </c>
      <c r="C32" t="s">
        <v>98</v>
      </c>
      <c r="D32" t="s">
        <v>95</v>
      </c>
      <c r="E32" t="s">
        <v>93</v>
      </c>
      <c r="I32" t="s">
        <v>90</v>
      </c>
      <c r="J32" s="3">
        <v>595</v>
      </c>
      <c r="K32" s="3">
        <v>213</v>
      </c>
      <c r="L32" t="s">
        <v>18</v>
      </c>
      <c r="M32" s="4">
        <f t="shared" si="0"/>
        <v>1.4591737968885975E-6</v>
      </c>
    </row>
    <row r="33" spans="1:13" ht="18.75" customHeight="1" x14ac:dyDescent="0.35">
      <c r="A33" s="3">
        <v>45</v>
      </c>
      <c r="B33" s="3">
        <v>556</v>
      </c>
      <c r="C33" t="s">
        <v>99</v>
      </c>
      <c r="D33" t="s">
        <v>100</v>
      </c>
      <c r="E33" t="s">
        <v>14</v>
      </c>
      <c r="F33" t="s">
        <v>21</v>
      </c>
      <c r="G33" t="s">
        <v>90</v>
      </c>
      <c r="H33" t="s">
        <v>90</v>
      </c>
      <c r="I33" t="s">
        <v>101</v>
      </c>
      <c r="J33" s="3">
        <v>556</v>
      </c>
      <c r="K33" s="3">
        <v>222253</v>
      </c>
      <c r="L33" t="s">
        <v>18</v>
      </c>
      <c r="M33" s="4">
        <f t="shared" si="0"/>
        <v>1.522562224788176E-3</v>
      </c>
    </row>
    <row r="34" spans="1:13" ht="18.75" customHeight="1" x14ac:dyDescent="0.35">
      <c r="A34" s="3">
        <v>27</v>
      </c>
      <c r="B34" s="3">
        <v>536</v>
      </c>
      <c r="C34" t="s">
        <v>102</v>
      </c>
      <c r="D34" t="s">
        <v>103</v>
      </c>
      <c r="E34" t="s">
        <v>14</v>
      </c>
      <c r="F34" t="s">
        <v>25</v>
      </c>
      <c r="G34" t="s">
        <v>26</v>
      </c>
      <c r="H34" t="s">
        <v>104</v>
      </c>
      <c r="I34" t="s">
        <v>104</v>
      </c>
      <c r="J34" s="3">
        <v>536</v>
      </c>
      <c r="K34" s="3">
        <v>75621</v>
      </c>
      <c r="L34" t="s">
        <v>18</v>
      </c>
      <c r="M34" s="4">
        <f t="shared" ref="M34:M65" si="1">K34/SUM($K$1:$K$3000)</f>
        <v>5.1804780138268839E-4</v>
      </c>
    </row>
    <row r="35" spans="1:13" ht="18.75" customHeight="1" x14ac:dyDescent="0.35">
      <c r="A35" s="3">
        <v>47</v>
      </c>
      <c r="B35" s="3">
        <v>559</v>
      </c>
      <c r="C35" t="s">
        <v>105</v>
      </c>
      <c r="D35" t="s">
        <v>106</v>
      </c>
      <c r="E35" t="s">
        <v>14</v>
      </c>
      <c r="F35" t="s">
        <v>37</v>
      </c>
      <c r="G35" t="s">
        <v>107</v>
      </c>
      <c r="I35" t="s">
        <v>108</v>
      </c>
      <c r="J35" s="3">
        <v>559</v>
      </c>
      <c r="K35" s="3">
        <v>24709</v>
      </c>
      <c r="L35" t="s">
        <v>18</v>
      </c>
      <c r="M35" s="4">
        <f t="shared" si="1"/>
        <v>1.6927101102028337E-4</v>
      </c>
    </row>
    <row r="36" spans="1:13" ht="18.75" customHeight="1" x14ac:dyDescent="0.35">
      <c r="A36" s="3">
        <v>52</v>
      </c>
      <c r="B36" s="3">
        <v>572</v>
      </c>
      <c r="C36" t="s">
        <v>109</v>
      </c>
      <c r="D36" t="s">
        <v>110</v>
      </c>
      <c r="E36" t="s">
        <v>14</v>
      </c>
      <c r="F36" t="s">
        <v>37</v>
      </c>
      <c r="G36" t="s">
        <v>38</v>
      </c>
      <c r="H36" t="s">
        <v>39</v>
      </c>
      <c r="I36" t="s">
        <v>111</v>
      </c>
      <c r="J36" s="3">
        <v>572</v>
      </c>
      <c r="K36" s="3">
        <v>25579</v>
      </c>
      <c r="L36" t="s">
        <v>18</v>
      </c>
      <c r="M36" s="4">
        <f t="shared" si="1"/>
        <v>1.7523101666954666E-4</v>
      </c>
    </row>
    <row r="37" spans="1:13" ht="18.75" customHeight="1" x14ac:dyDescent="0.35">
      <c r="A37" s="3">
        <v>129</v>
      </c>
      <c r="B37" s="3">
        <v>901</v>
      </c>
      <c r="C37" t="s">
        <v>112</v>
      </c>
      <c r="D37" t="s">
        <v>113</v>
      </c>
      <c r="E37" t="s">
        <v>14</v>
      </c>
      <c r="F37" t="s">
        <v>113</v>
      </c>
      <c r="G37" t="s">
        <v>113</v>
      </c>
      <c r="H37" t="s">
        <v>113</v>
      </c>
      <c r="I37" t="s">
        <v>113</v>
      </c>
      <c r="J37" s="3">
        <v>901</v>
      </c>
      <c r="K37" s="3">
        <v>2386853</v>
      </c>
      <c r="L37" t="s">
        <v>18</v>
      </c>
      <c r="M37" s="4">
        <f t="shared" si="1"/>
        <v>1.6351330303403473E-2</v>
      </c>
    </row>
    <row r="38" spans="1:13" ht="18.75" customHeight="1" x14ac:dyDescent="0.35">
      <c r="A38" s="3">
        <v>75</v>
      </c>
      <c r="B38" s="3">
        <v>625</v>
      </c>
      <c r="C38" t="s">
        <v>114</v>
      </c>
      <c r="D38" t="s">
        <v>115</v>
      </c>
      <c r="E38" t="s">
        <v>14</v>
      </c>
      <c r="F38" t="s">
        <v>37</v>
      </c>
      <c r="G38" t="s">
        <v>116</v>
      </c>
      <c r="H38" t="s">
        <v>116</v>
      </c>
      <c r="I38" t="s">
        <v>117</v>
      </c>
      <c r="J38" s="3">
        <v>625</v>
      </c>
      <c r="K38" s="3">
        <v>320403</v>
      </c>
      <c r="L38" t="s">
        <v>18</v>
      </c>
      <c r="M38" s="4">
        <f t="shared" si="1"/>
        <v>2.1949467701619591E-3</v>
      </c>
    </row>
    <row r="39" spans="1:13" ht="18.75" customHeight="1" x14ac:dyDescent="0.35">
      <c r="A39" s="3">
        <v>43</v>
      </c>
      <c r="B39" s="3">
        <v>554</v>
      </c>
      <c r="C39" t="s">
        <v>118</v>
      </c>
      <c r="D39" t="s">
        <v>119</v>
      </c>
      <c r="E39" t="s">
        <v>14</v>
      </c>
      <c r="F39" t="s">
        <v>21</v>
      </c>
      <c r="I39" t="s">
        <v>120</v>
      </c>
      <c r="J39" s="3">
        <v>554</v>
      </c>
      <c r="K39" s="3">
        <v>30224</v>
      </c>
      <c r="L39" t="s">
        <v>18</v>
      </c>
      <c r="M39" s="4">
        <f t="shared" si="1"/>
        <v>2.0705196637164775E-4</v>
      </c>
    </row>
    <row r="40" spans="1:13" ht="18.75" customHeight="1" x14ac:dyDescent="0.35">
      <c r="A40" s="3">
        <v>137</v>
      </c>
      <c r="B40" s="3">
        <v>909</v>
      </c>
      <c r="C40" t="s">
        <v>121</v>
      </c>
      <c r="D40" t="s">
        <v>122</v>
      </c>
      <c r="E40" t="s">
        <v>14</v>
      </c>
      <c r="F40" t="s">
        <v>21</v>
      </c>
      <c r="G40" t="s">
        <v>120</v>
      </c>
      <c r="H40" t="s">
        <v>120</v>
      </c>
      <c r="I40" t="s">
        <v>120</v>
      </c>
      <c r="J40" s="3">
        <v>909</v>
      </c>
      <c r="K40" s="3">
        <v>9819</v>
      </c>
      <c r="L40" t="s">
        <v>18</v>
      </c>
      <c r="M40" s="4">
        <f t="shared" si="1"/>
        <v>6.726585686220253E-5</v>
      </c>
    </row>
    <row r="41" spans="1:13" ht="18.75" customHeight="1" x14ac:dyDescent="0.35">
      <c r="A41" s="3">
        <v>103</v>
      </c>
      <c r="B41" s="3">
        <v>721</v>
      </c>
      <c r="C41" t="s">
        <v>123</v>
      </c>
      <c r="D41" t="s">
        <v>124</v>
      </c>
      <c r="E41" t="s">
        <v>14</v>
      </c>
      <c r="F41" t="s">
        <v>21</v>
      </c>
      <c r="I41" t="s">
        <v>120</v>
      </c>
      <c r="J41" s="3">
        <v>721</v>
      </c>
      <c r="K41" s="3">
        <v>1687</v>
      </c>
      <c r="L41" t="s">
        <v>18</v>
      </c>
      <c r="M41" s="4">
        <f t="shared" si="1"/>
        <v>1.1556930494605934E-5</v>
      </c>
    </row>
    <row r="42" spans="1:13" ht="18.75" customHeight="1" x14ac:dyDescent="0.35">
      <c r="A42" s="3">
        <v>33</v>
      </c>
      <c r="B42" s="3">
        <v>543</v>
      </c>
      <c r="C42" t="s">
        <v>125</v>
      </c>
      <c r="D42" t="s">
        <v>126</v>
      </c>
      <c r="E42" t="s">
        <v>14</v>
      </c>
      <c r="F42" t="s">
        <v>25</v>
      </c>
      <c r="G42" t="s">
        <v>45</v>
      </c>
      <c r="H42" t="s">
        <v>127</v>
      </c>
      <c r="I42" t="s">
        <v>127</v>
      </c>
      <c r="J42" s="3">
        <v>543</v>
      </c>
      <c r="K42" s="3">
        <v>59176</v>
      </c>
      <c r="L42" t="s">
        <v>18</v>
      </c>
      <c r="M42" s="4">
        <f t="shared" si="1"/>
        <v>4.0538999344920021E-4</v>
      </c>
    </row>
    <row r="43" spans="1:13" ht="18.75" customHeight="1" x14ac:dyDescent="0.35">
      <c r="A43" s="3">
        <v>5</v>
      </c>
      <c r="B43" s="3">
        <v>506</v>
      </c>
      <c r="C43" t="s">
        <v>128</v>
      </c>
      <c r="D43" t="s">
        <v>129</v>
      </c>
      <c r="E43" t="s">
        <v>14</v>
      </c>
      <c r="F43" t="s">
        <v>25</v>
      </c>
      <c r="G43" t="s">
        <v>45</v>
      </c>
      <c r="H43" t="s">
        <v>127</v>
      </c>
      <c r="I43" t="s">
        <v>127</v>
      </c>
      <c r="J43" s="3">
        <v>506</v>
      </c>
      <c r="K43" s="3">
        <v>23854</v>
      </c>
      <c r="L43" t="s">
        <v>18</v>
      </c>
      <c r="M43" s="4">
        <f t="shared" si="1"/>
        <v>1.6341376408911083E-4</v>
      </c>
    </row>
    <row r="44" spans="1:13" ht="18.75" customHeight="1" x14ac:dyDescent="0.35">
      <c r="A44" s="3">
        <v>13</v>
      </c>
      <c r="B44" s="3">
        <v>515</v>
      </c>
      <c r="C44" t="s">
        <v>130</v>
      </c>
      <c r="D44" t="s">
        <v>131</v>
      </c>
      <c r="E44" t="s">
        <v>14</v>
      </c>
      <c r="F44" t="s">
        <v>25</v>
      </c>
      <c r="G44" t="s">
        <v>45</v>
      </c>
      <c r="H44" t="s">
        <v>127</v>
      </c>
      <c r="I44" t="s">
        <v>127</v>
      </c>
      <c r="J44" s="3">
        <v>515</v>
      </c>
      <c r="K44" s="3">
        <v>5779</v>
      </c>
      <c r="L44" t="s">
        <v>18</v>
      </c>
      <c r="M44" s="4">
        <f t="shared" si="1"/>
        <v>3.9589508789761526E-5</v>
      </c>
    </row>
    <row r="45" spans="1:13" ht="18.75" customHeight="1" x14ac:dyDescent="0.35">
      <c r="A45" s="3">
        <v>121</v>
      </c>
      <c r="B45" s="3">
        <v>848</v>
      </c>
      <c r="C45" t="s">
        <v>132</v>
      </c>
      <c r="D45" t="s">
        <v>133</v>
      </c>
      <c r="E45" t="s">
        <v>77</v>
      </c>
      <c r="I45" t="s">
        <v>134</v>
      </c>
      <c r="J45" s="3">
        <v>848</v>
      </c>
      <c r="K45" s="3">
        <v>523</v>
      </c>
      <c r="L45" t="s">
        <v>18</v>
      </c>
      <c r="M45" s="4">
        <f t="shared" si="1"/>
        <v>3.5828539707640213E-6</v>
      </c>
    </row>
    <row r="46" spans="1:13" ht="18.75" customHeight="1" x14ac:dyDescent="0.35">
      <c r="A46" s="3">
        <v>112</v>
      </c>
      <c r="B46" s="3">
        <v>801</v>
      </c>
      <c r="C46" t="s">
        <v>135</v>
      </c>
      <c r="D46" t="s">
        <v>136</v>
      </c>
      <c r="E46" t="s">
        <v>77</v>
      </c>
      <c r="G46" t="s">
        <v>134</v>
      </c>
      <c r="H46" t="s">
        <v>137</v>
      </c>
      <c r="I46" t="s">
        <v>138</v>
      </c>
      <c r="J46" s="3">
        <v>801</v>
      </c>
      <c r="K46" s="3">
        <v>19280</v>
      </c>
      <c r="L46" t="s">
        <v>18</v>
      </c>
      <c r="M46" s="4">
        <f t="shared" si="1"/>
        <v>1.3207920565263924E-4</v>
      </c>
    </row>
    <row r="47" spans="1:13" ht="18.75" customHeight="1" x14ac:dyDescent="0.35">
      <c r="A47" s="3">
        <v>114</v>
      </c>
      <c r="B47" s="3">
        <v>803</v>
      </c>
      <c r="C47" t="s">
        <v>138</v>
      </c>
      <c r="D47" t="s">
        <v>139</v>
      </c>
      <c r="E47" t="s">
        <v>77</v>
      </c>
      <c r="G47" t="s">
        <v>134</v>
      </c>
      <c r="H47" t="s">
        <v>140</v>
      </c>
      <c r="I47" t="s">
        <v>138</v>
      </c>
      <c r="J47" s="3">
        <v>803</v>
      </c>
      <c r="K47" s="3">
        <v>3648</v>
      </c>
      <c r="L47" t="s">
        <v>18</v>
      </c>
      <c r="M47" s="4">
        <f t="shared" si="1"/>
        <v>2.49909202396695E-5</v>
      </c>
    </row>
    <row r="48" spans="1:13" ht="18.75" customHeight="1" x14ac:dyDescent="0.35">
      <c r="A48" s="3">
        <v>113</v>
      </c>
      <c r="B48" s="3">
        <v>802</v>
      </c>
      <c r="C48" t="s">
        <v>141</v>
      </c>
      <c r="D48" t="s">
        <v>142</v>
      </c>
      <c r="E48" t="s">
        <v>77</v>
      </c>
      <c r="G48" t="s">
        <v>134</v>
      </c>
      <c r="H48" t="s">
        <v>140</v>
      </c>
      <c r="I48" t="s">
        <v>138</v>
      </c>
      <c r="J48" s="3">
        <v>802</v>
      </c>
      <c r="K48" s="3">
        <v>1498</v>
      </c>
      <c r="L48" t="s">
        <v>18</v>
      </c>
      <c r="M48" s="4">
        <f t="shared" si="1"/>
        <v>1.0262170646662531E-5</v>
      </c>
    </row>
    <row r="49" spans="1:13" ht="18.75" customHeight="1" x14ac:dyDescent="0.35">
      <c r="A49" s="3">
        <v>124</v>
      </c>
      <c r="B49" s="3">
        <v>852</v>
      </c>
      <c r="C49" t="s">
        <v>143</v>
      </c>
      <c r="D49" t="s">
        <v>144</v>
      </c>
      <c r="E49" t="s">
        <v>14</v>
      </c>
      <c r="F49" t="s">
        <v>21</v>
      </c>
      <c r="G49" t="s">
        <v>145</v>
      </c>
      <c r="H49" t="s">
        <v>145</v>
      </c>
      <c r="I49" t="s">
        <v>145</v>
      </c>
      <c r="J49" s="3">
        <v>852</v>
      </c>
      <c r="K49" s="3">
        <v>470808</v>
      </c>
      <c r="L49" t="s">
        <v>18</v>
      </c>
      <c r="M49" s="4">
        <f t="shared" si="1"/>
        <v>3.2253084364578725E-3</v>
      </c>
    </row>
    <row r="50" spans="1:13" ht="18.75" customHeight="1" x14ac:dyDescent="0.35">
      <c r="A50" s="3">
        <v>125</v>
      </c>
      <c r="B50" s="3">
        <v>857</v>
      </c>
      <c r="C50" t="s">
        <v>146</v>
      </c>
      <c r="D50" t="s">
        <v>147</v>
      </c>
      <c r="E50" t="s">
        <v>14</v>
      </c>
      <c r="F50" t="s">
        <v>21</v>
      </c>
      <c r="G50" t="s">
        <v>145</v>
      </c>
      <c r="H50" t="s">
        <v>145</v>
      </c>
      <c r="I50" t="s">
        <v>145</v>
      </c>
      <c r="J50" s="3">
        <v>857</v>
      </c>
      <c r="K50" s="3">
        <v>83671</v>
      </c>
      <c r="L50" t="s">
        <v>18</v>
      </c>
      <c r="M50" s="4">
        <f t="shared" si="1"/>
        <v>5.7319498009138898E-4</v>
      </c>
    </row>
    <row r="51" spans="1:13" ht="18.75" customHeight="1" x14ac:dyDescent="0.35">
      <c r="A51" s="3">
        <v>126</v>
      </c>
      <c r="B51" s="3">
        <v>858</v>
      </c>
      <c r="C51" t="s">
        <v>148</v>
      </c>
      <c r="D51" t="s">
        <v>149</v>
      </c>
      <c r="E51" t="s">
        <v>14</v>
      </c>
      <c r="F51" t="s">
        <v>21</v>
      </c>
      <c r="G51" t="s">
        <v>145</v>
      </c>
      <c r="H51" t="s">
        <v>145</v>
      </c>
      <c r="I51" t="s">
        <v>145</v>
      </c>
      <c r="J51" s="3">
        <v>858</v>
      </c>
      <c r="K51" s="3">
        <v>6194</v>
      </c>
      <c r="L51" t="s">
        <v>18</v>
      </c>
      <c r="M51" s="4">
        <f t="shared" si="1"/>
        <v>4.2432499990272176E-5</v>
      </c>
    </row>
    <row r="52" spans="1:13" ht="18.75" customHeight="1" x14ac:dyDescent="0.35">
      <c r="A52" s="3">
        <v>55</v>
      </c>
      <c r="B52" s="3">
        <v>575</v>
      </c>
      <c r="C52" t="s">
        <v>150</v>
      </c>
      <c r="D52" t="s">
        <v>151</v>
      </c>
      <c r="E52" t="s">
        <v>14</v>
      </c>
      <c r="F52" t="s">
        <v>25</v>
      </c>
      <c r="I52" t="s">
        <v>151</v>
      </c>
      <c r="J52" s="3">
        <v>575</v>
      </c>
      <c r="K52" s="3">
        <v>5231</v>
      </c>
      <c r="L52" t="s">
        <v>18</v>
      </c>
      <c r="M52" s="4">
        <f t="shared" si="1"/>
        <v>3.5835390288846263E-5</v>
      </c>
    </row>
    <row r="53" spans="1:13" ht="18.75" customHeight="1" x14ac:dyDescent="0.35">
      <c r="A53" s="3">
        <v>57</v>
      </c>
      <c r="B53" s="3">
        <v>577</v>
      </c>
      <c r="C53" t="s">
        <v>152</v>
      </c>
      <c r="D53" t="s">
        <v>151</v>
      </c>
      <c r="E53" t="s">
        <v>14</v>
      </c>
      <c r="F53" t="s">
        <v>25</v>
      </c>
      <c r="I53" t="s">
        <v>151</v>
      </c>
      <c r="J53" s="3">
        <v>577</v>
      </c>
      <c r="K53" s="3">
        <v>4031</v>
      </c>
      <c r="L53" t="s">
        <v>18</v>
      </c>
      <c r="M53" s="4">
        <f t="shared" si="1"/>
        <v>2.7614692841586556E-5</v>
      </c>
    </row>
    <row r="54" spans="1:13" ht="18.75" customHeight="1" x14ac:dyDescent="0.35">
      <c r="A54" s="3">
        <v>56</v>
      </c>
      <c r="B54" s="3">
        <v>576</v>
      </c>
      <c r="C54" t="s">
        <v>153</v>
      </c>
      <c r="D54" t="s">
        <v>151</v>
      </c>
      <c r="E54" t="s">
        <v>14</v>
      </c>
      <c r="F54" t="s">
        <v>25</v>
      </c>
      <c r="I54" t="s">
        <v>151</v>
      </c>
      <c r="J54" s="3">
        <v>576</v>
      </c>
      <c r="K54" s="3">
        <v>131</v>
      </c>
      <c r="L54" t="s">
        <v>18</v>
      </c>
      <c r="M54" s="4">
        <f t="shared" si="1"/>
        <v>8.9742613799251776E-7</v>
      </c>
    </row>
    <row r="55" spans="1:13" ht="18.75" customHeight="1" x14ac:dyDescent="0.35">
      <c r="A55" s="3">
        <v>26</v>
      </c>
      <c r="B55" s="3">
        <v>535</v>
      </c>
      <c r="C55" t="s">
        <v>154</v>
      </c>
      <c r="D55" t="s">
        <v>155</v>
      </c>
      <c r="E55" t="s">
        <v>14</v>
      </c>
      <c r="F55" t="s">
        <v>25</v>
      </c>
      <c r="G55" t="s">
        <v>26</v>
      </c>
      <c r="H55" t="s">
        <v>151</v>
      </c>
      <c r="I55" t="s">
        <v>151</v>
      </c>
      <c r="J55" s="3">
        <v>535</v>
      </c>
      <c r="L55" t="s">
        <v>18</v>
      </c>
      <c r="M55" s="3">
        <f t="shared" si="1"/>
        <v>0</v>
      </c>
    </row>
    <row r="56" spans="1:13" ht="18.75" customHeight="1" x14ac:dyDescent="0.35">
      <c r="A56" s="3">
        <v>91</v>
      </c>
      <c r="B56" s="3">
        <v>708</v>
      </c>
      <c r="C56" t="s">
        <v>156</v>
      </c>
      <c r="D56" t="s">
        <v>157</v>
      </c>
      <c r="E56" t="s">
        <v>14</v>
      </c>
      <c r="F56" t="s">
        <v>15</v>
      </c>
      <c r="G56" t="s">
        <v>16</v>
      </c>
      <c r="H56" t="s">
        <v>158</v>
      </c>
      <c r="I56" t="s">
        <v>158</v>
      </c>
      <c r="J56" s="3">
        <v>708</v>
      </c>
      <c r="K56" s="3">
        <v>1653</v>
      </c>
      <c r="L56" t="s">
        <v>18</v>
      </c>
      <c r="M56" s="4">
        <f t="shared" si="1"/>
        <v>1.1324010733600242E-5</v>
      </c>
    </row>
    <row r="57" spans="1:13" ht="18.75" customHeight="1" x14ac:dyDescent="0.35">
      <c r="A57" s="3">
        <v>76</v>
      </c>
      <c r="B57" s="3">
        <v>631</v>
      </c>
      <c r="C57" t="s">
        <v>159</v>
      </c>
      <c r="D57" t="s">
        <v>160</v>
      </c>
      <c r="E57" t="s">
        <v>14</v>
      </c>
      <c r="F57" t="s">
        <v>25</v>
      </c>
      <c r="G57" t="s">
        <v>26</v>
      </c>
      <c r="H57" t="s">
        <v>161</v>
      </c>
      <c r="I57" t="s">
        <v>161</v>
      </c>
      <c r="J57" s="3">
        <v>631</v>
      </c>
      <c r="K57" s="3">
        <v>25757</v>
      </c>
      <c r="L57" t="s">
        <v>18</v>
      </c>
      <c r="M57" s="4">
        <f t="shared" si="1"/>
        <v>1.764504201242235E-4</v>
      </c>
    </row>
    <row r="58" spans="1:13" ht="18.75" customHeight="1" x14ac:dyDescent="0.35">
      <c r="A58" s="3">
        <v>50</v>
      </c>
      <c r="B58" s="3">
        <v>568</v>
      </c>
      <c r="C58" t="s">
        <v>162</v>
      </c>
      <c r="D58" t="s">
        <v>163</v>
      </c>
      <c r="E58" t="s">
        <v>14</v>
      </c>
      <c r="F58" t="s">
        <v>25</v>
      </c>
      <c r="G58" t="s">
        <v>56</v>
      </c>
      <c r="I58" t="s">
        <v>164</v>
      </c>
      <c r="J58" s="3">
        <v>568</v>
      </c>
      <c r="K58" s="3">
        <v>19421</v>
      </c>
      <c r="L58" t="s">
        <v>18</v>
      </c>
      <c r="M58" s="4">
        <f t="shared" si="1"/>
        <v>1.3304513760269227E-4</v>
      </c>
    </row>
    <row r="59" spans="1:13" ht="18.75" customHeight="1" x14ac:dyDescent="0.35">
      <c r="A59" s="3">
        <v>25</v>
      </c>
      <c r="B59" s="3">
        <v>534</v>
      </c>
      <c r="C59" t="s">
        <v>165</v>
      </c>
      <c r="D59" t="s">
        <v>166</v>
      </c>
      <c r="E59" t="s">
        <v>14</v>
      </c>
      <c r="F59" t="s">
        <v>25</v>
      </c>
      <c r="G59" t="s">
        <v>26</v>
      </c>
      <c r="H59" t="s">
        <v>167</v>
      </c>
      <c r="I59" t="s">
        <v>167</v>
      </c>
      <c r="J59" s="3">
        <v>534</v>
      </c>
      <c r="K59" s="3">
        <v>20302</v>
      </c>
      <c r="L59" t="s">
        <v>18</v>
      </c>
      <c r="M59" s="4">
        <f t="shared" si="1"/>
        <v>1.3908049964522209E-4</v>
      </c>
    </row>
    <row r="60" spans="1:13" ht="18.75" customHeight="1" x14ac:dyDescent="0.35">
      <c r="A60" s="3">
        <v>34</v>
      </c>
      <c r="B60" s="3">
        <v>544</v>
      </c>
      <c r="C60" t="s">
        <v>168</v>
      </c>
      <c r="D60" t="s">
        <v>169</v>
      </c>
      <c r="E60" t="s">
        <v>14</v>
      </c>
      <c r="F60" t="s">
        <v>25</v>
      </c>
      <c r="G60" t="s">
        <v>26</v>
      </c>
      <c r="H60" t="s">
        <v>167</v>
      </c>
      <c r="I60" t="s">
        <v>167</v>
      </c>
      <c r="J60" s="3">
        <v>544</v>
      </c>
      <c r="K60" s="3">
        <v>1782</v>
      </c>
      <c r="L60" t="s">
        <v>18</v>
      </c>
      <c r="M60" s="4">
        <f t="shared" si="1"/>
        <v>1.2207735709180662E-5</v>
      </c>
    </row>
    <row r="61" spans="1:13" ht="18.75" customHeight="1" x14ac:dyDescent="0.35">
      <c r="A61" s="3">
        <v>29</v>
      </c>
      <c r="B61" s="3">
        <v>538</v>
      </c>
      <c r="C61" t="s">
        <v>170</v>
      </c>
      <c r="D61" t="s">
        <v>171</v>
      </c>
      <c r="E61" t="s">
        <v>14</v>
      </c>
      <c r="F61" t="s">
        <v>25</v>
      </c>
      <c r="G61" t="s">
        <v>26</v>
      </c>
      <c r="H61" t="s">
        <v>172</v>
      </c>
      <c r="I61" t="s">
        <v>172</v>
      </c>
      <c r="J61" s="3">
        <v>538</v>
      </c>
      <c r="K61" s="3">
        <v>33493</v>
      </c>
      <c r="L61" t="s">
        <v>18</v>
      </c>
      <c r="M61" s="4">
        <f t="shared" si="1"/>
        <v>2.2944651633422441E-4</v>
      </c>
    </row>
    <row r="62" spans="1:13" ht="18.75" customHeight="1" x14ac:dyDescent="0.35">
      <c r="A62" s="3">
        <v>7</v>
      </c>
      <c r="B62" s="3">
        <v>508</v>
      </c>
      <c r="C62" t="s">
        <v>173</v>
      </c>
      <c r="D62" t="s">
        <v>174</v>
      </c>
      <c r="E62" t="s">
        <v>14</v>
      </c>
      <c r="F62" t="s">
        <v>25</v>
      </c>
      <c r="G62" t="s">
        <v>175</v>
      </c>
      <c r="H62" t="s">
        <v>176</v>
      </c>
      <c r="I62" t="s">
        <v>177</v>
      </c>
      <c r="J62" s="3">
        <v>508</v>
      </c>
      <c r="K62" s="3">
        <v>1542172</v>
      </c>
      <c r="L62" t="s">
        <v>18</v>
      </c>
      <c r="M62" s="4">
        <f t="shared" si="1"/>
        <v>1.056477451969616E-2</v>
      </c>
    </row>
    <row r="63" spans="1:13" ht="18.75" customHeight="1" x14ac:dyDescent="0.35">
      <c r="A63" s="3">
        <v>15</v>
      </c>
      <c r="B63" s="3">
        <v>519</v>
      </c>
      <c r="C63" t="s">
        <v>178</v>
      </c>
      <c r="D63" t="s">
        <v>179</v>
      </c>
      <c r="E63" t="s">
        <v>14</v>
      </c>
      <c r="F63" t="s">
        <v>25</v>
      </c>
      <c r="G63" t="s">
        <v>175</v>
      </c>
      <c r="H63" t="s">
        <v>176</v>
      </c>
      <c r="I63" t="s">
        <v>180</v>
      </c>
      <c r="J63" s="3">
        <v>519</v>
      </c>
      <c r="K63" s="3">
        <v>18647</v>
      </c>
      <c r="L63" t="s">
        <v>18</v>
      </c>
      <c r="M63" s="4">
        <f t="shared" si="1"/>
        <v>1.2774278774920975E-4</v>
      </c>
    </row>
    <row r="64" spans="1:13" ht="18.75" customHeight="1" x14ac:dyDescent="0.35">
      <c r="A64" s="3">
        <v>16</v>
      </c>
      <c r="B64" s="3">
        <v>521</v>
      </c>
      <c r="C64" t="s">
        <v>181</v>
      </c>
      <c r="D64" t="s">
        <v>182</v>
      </c>
      <c r="E64" t="s">
        <v>14</v>
      </c>
      <c r="F64" t="s">
        <v>25</v>
      </c>
      <c r="G64" t="s">
        <v>175</v>
      </c>
      <c r="H64" t="s">
        <v>176</v>
      </c>
      <c r="I64" t="s">
        <v>183</v>
      </c>
      <c r="J64" s="3">
        <v>521</v>
      </c>
      <c r="K64" s="3">
        <v>4602596</v>
      </c>
      <c r="L64" t="s">
        <v>18</v>
      </c>
      <c r="M64" s="4">
        <f t="shared" si="1"/>
        <v>3.1530457656639775E-2</v>
      </c>
    </row>
    <row r="65" spans="1:13" ht="18.75" customHeight="1" x14ac:dyDescent="0.35">
      <c r="A65" s="3">
        <v>141</v>
      </c>
      <c r="B65" s="3">
        <v>935</v>
      </c>
      <c r="C65" t="s">
        <v>184</v>
      </c>
      <c r="I65" t="s">
        <v>107</v>
      </c>
      <c r="J65" s="3">
        <v>935</v>
      </c>
      <c r="K65" s="3">
        <v>3058</v>
      </c>
      <c r="L65" t="s">
        <v>18</v>
      </c>
      <c r="M65" s="4">
        <f t="shared" si="1"/>
        <v>2.0949077328100146E-5</v>
      </c>
    </row>
    <row r="66" spans="1:13" ht="18.75" customHeight="1" x14ac:dyDescent="0.35">
      <c r="A66" s="3">
        <v>66</v>
      </c>
      <c r="B66" s="3">
        <v>611</v>
      </c>
      <c r="C66" t="s">
        <v>185</v>
      </c>
      <c r="D66" t="s">
        <v>186</v>
      </c>
      <c r="E66" t="s">
        <v>14</v>
      </c>
      <c r="F66" t="s">
        <v>37</v>
      </c>
      <c r="G66" t="s">
        <v>107</v>
      </c>
      <c r="H66" t="s">
        <v>107</v>
      </c>
      <c r="I66" t="s">
        <v>187</v>
      </c>
      <c r="J66" s="3">
        <v>611</v>
      </c>
      <c r="K66" s="3">
        <v>8750971</v>
      </c>
      <c r="L66" t="s">
        <v>18</v>
      </c>
      <c r="M66" s="4">
        <f t="shared" ref="M66:M97" si="2">K66/SUM($K$1:$K$3000)</f>
        <v>5.994923746728642E-2</v>
      </c>
    </row>
    <row r="67" spans="1:13" ht="18.75" customHeight="1" x14ac:dyDescent="0.35">
      <c r="A67" s="3">
        <v>67</v>
      </c>
      <c r="B67" s="3">
        <v>612</v>
      </c>
      <c r="C67" t="s">
        <v>188</v>
      </c>
      <c r="D67" t="s">
        <v>189</v>
      </c>
      <c r="E67" t="s">
        <v>14</v>
      </c>
      <c r="F67" t="s">
        <v>37</v>
      </c>
      <c r="G67" t="s">
        <v>107</v>
      </c>
      <c r="H67" t="s">
        <v>107</v>
      </c>
      <c r="I67" t="s">
        <v>187</v>
      </c>
      <c r="J67" s="3">
        <v>612</v>
      </c>
      <c r="K67" s="3">
        <v>1488631</v>
      </c>
      <c r="L67" t="s">
        <v>18</v>
      </c>
      <c r="M67" s="4">
        <f t="shared" si="2"/>
        <v>1.0197987551343051E-2</v>
      </c>
    </row>
    <row r="68" spans="1:13" ht="18.75" customHeight="1" x14ac:dyDescent="0.35">
      <c r="A68" s="3">
        <v>123</v>
      </c>
      <c r="B68" s="3">
        <v>851</v>
      </c>
      <c r="C68" t="s">
        <v>190</v>
      </c>
      <c r="D68" t="s">
        <v>191</v>
      </c>
      <c r="E68" t="s">
        <v>14</v>
      </c>
      <c r="F68" t="s">
        <v>21</v>
      </c>
      <c r="I68" t="s">
        <v>187</v>
      </c>
      <c r="J68" s="3">
        <v>851</v>
      </c>
      <c r="K68" s="3">
        <v>841349</v>
      </c>
      <c r="L68" t="s">
        <v>18</v>
      </c>
      <c r="M68" s="4">
        <f t="shared" si="2"/>
        <v>5.7637296471287547E-3</v>
      </c>
    </row>
    <row r="69" spans="1:13" ht="18.75" customHeight="1" x14ac:dyDescent="0.35">
      <c r="A69" s="3">
        <v>142</v>
      </c>
      <c r="B69" s="3">
        <v>936</v>
      </c>
      <c r="C69" t="s">
        <v>192</v>
      </c>
      <c r="I69" t="s">
        <v>187</v>
      </c>
      <c r="J69" s="3">
        <v>936</v>
      </c>
      <c r="K69" s="3">
        <v>29819</v>
      </c>
      <c r="L69" t="s">
        <v>18</v>
      </c>
      <c r="M69" s="4">
        <f t="shared" si="2"/>
        <v>2.042774809831976E-4</v>
      </c>
    </row>
    <row r="70" spans="1:13" ht="18.75" customHeight="1" x14ac:dyDescent="0.35">
      <c r="A70" s="3">
        <v>77</v>
      </c>
      <c r="B70" s="3">
        <v>632</v>
      </c>
      <c r="C70" t="s">
        <v>193</v>
      </c>
      <c r="D70" t="s">
        <v>194</v>
      </c>
      <c r="E70" t="s">
        <v>14</v>
      </c>
      <c r="F70" t="s">
        <v>37</v>
      </c>
      <c r="I70" t="s">
        <v>195</v>
      </c>
      <c r="J70" s="3">
        <v>632</v>
      </c>
      <c r="K70" s="3">
        <v>21085</v>
      </c>
      <c r="L70" t="s">
        <v>18</v>
      </c>
      <c r="M70" s="4">
        <f t="shared" si="2"/>
        <v>1.4444450472955907E-4</v>
      </c>
    </row>
    <row r="71" spans="1:13" ht="18.75" customHeight="1" x14ac:dyDescent="0.35">
      <c r="A71" s="3">
        <v>68</v>
      </c>
      <c r="B71" s="3">
        <v>613</v>
      </c>
      <c r="C71" t="s">
        <v>196</v>
      </c>
      <c r="D71" t="s">
        <v>197</v>
      </c>
      <c r="E71" t="s">
        <v>14</v>
      </c>
      <c r="F71" t="s">
        <v>37</v>
      </c>
      <c r="G71" t="s">
        <v>107</v>
      </c>
      <c r="H71" t="s">
        <v>107</v>
      </c>
      <c r="I71" t="s">
        <v>198</v>
      </c>
      <c r="J71" s="3">
        <v>613</v>
      </c>
      <c r="K71" s="3">
        <v>35089406</v>
      </c>
      <c r="L71" t="s">
        <v>18</v>
      </c>
      <c r="M71" s="4">
        <f t="shared" si="2"/>
        <v>0.24038282527504948</v>
      </c>
    </row>
    <row r="72" spans="1:13" ht="18.75" customHeight="1" x14ac:dyDescent="0.35">
      <c r="A72" s="3">
        <v>64</v>
      </c>
      <c r="B72" s="3">
        <v>601</v>
      </c>
      <c r="C72" t="s">
        <v>199</v>
      </c>
      <c r="D72" t="s">
        <v>200</v>
      </c>
      <c r="E72" t="s">
        <v>14</v>
      </c>
      <c r="F72" t="s">
        <v>37</v>
      </c>
      <c r="G72" t="s">
        <v>107</v>
      </c>
      <c r="H72" t="s">
        <v>107</v>
      </c>
      <c r="I72" t="s">
        <v>201</v>
      </c>
      <c r="J72" s="3">
        <v>601</v>
      </c>
      <c r="K72" s="3">
        <v>11884868</v>
      </c>
      <c r="L72" t="s">
        <v>18</v>
      </c>
      <c r="M72" s="4">
        <f t="shared" si="2"/>
        <v>8.1418253357182127E-2</v>
      </c>
    </row>
    <row r="73" spans="1:13" ht="18.75" customHeight="1" x14ac:dyDescent="0.35">
      <c r="A73" s="3">
        <v>65</v>
      </c>
      <c r="B73" s="3">
        <v>602</v>
      </c>
      <c r="C73" t="s">
        <v>202</v>
      </c>
      <c r="D73" t="s">
        <v>203</v>
      </c>
      <c r="E73" t="s">
        <v>14</v>
      </c>
      <c r="F73" t="s">
        <v>37</v>
      </c>
      <c r="G73" t="s">
        <v>107</v>
      </c>
      <c r="H73" t="s">
        <v>107</v>
      </c>
      <c r="I73" t="s">
        <v>201</v>
      </c>
      <c r="J73" s="3">
        <v>602</v>
      </c>
      <c r="K73" s="3">
        <v>63868</v>
      </c>
      <c r="L73" t="s">
        <v>18</v>
      </c>
      <c r="M73" s="4">
        <f t="shared" si="2"/>
        <v>4.3753292046798566E-4</v>
      </c>
    </row>
    <row r="74" spans="1:13" ht="18.75" customHeight="1" x14ac:dyDescent="0.35">
      <c r="A74" s="3">
        <v>53</v>
      </c>
      <c r="B74" s="3">
        <v>573</v>
      </c>
      <c r="C74" t="s">
        <v>204</v>
      </c>
      <c r="D74" t="s">
        <v>205</v>
      </c>
      <c r="E74" t="s">
        <v>14</v>
      </c>
      <c r="F74" t="s">
        <v>25</v>
      </c>
      <c r="G74" t="s">
        <v>26</v>
      </c>
      <c r="H74" t="s">
        <v>206</v>
      </c>
      <c r="I74" t="s">
        <v>206</v>
      </c>
      <c r="J74" s="3">
        <v>573</v>
      </c>
      <c r="K74" s="3">
        <v>3497</v>
      </c>
      <c r="L74" t="s">
        <v>18</v>
      </c>
      <c r="M74" s="4">
        <f t="shared" si="2"/>
        <v>2.3956482477555987E-5</v>
      </c>
    </row>
    <row r="75" spans="1:13" ht="18.75" customHeight="1" x14ac:dyDescent="0.35">
      <c r="A75" s="3">
        <v>143</v>
      </c>
      <c r="B75" s="3">
        <v>998</v>
      </c>
      <c r="C75" t="s">
        <v>207</v>
      </c>
      <c r="D75" t="s">
        <v>208</v>
      </c>
      <c r="E75" t="s">
        <v>209</v>
      </c>
      <c r="G75" t="s">
        <v>209</v>
      </c>
      <c r="H75" t="s">
        <v>210</v>
      </c>
      <c r="I75" t="s">
        <v>210</v>
      </c>
      <c r="J75" s="3">
        <v>998</v>
      </c>
      <c r="K75" s="3">
        <v>88951</v>
      </c>
      <c r="L75" t="s">
        <v>18</v>
      </c>
      <c r="M75" s="4">
        <f t="shared" si="2"/>
        <v>6.0936604885933169E-4</v>
      </c>
    </row>
    <row r="76" spans="1:13" ht="18.75" customHeight="1" x14ac:dyDescent="0.35">
      <c r="A76" s="3">
        <v>131</v>
      </c>
      <c r="B76" s="3">
        <v>903</v>
      </c>
      <c r="C76" t="s">
        <v>211</v>
      </c>
      <c r="D76" t="s">
        <v>212</v>
      </c>
      <c r="E76" t="s">
        <v>209</v>
      </c>
      <c r="G76" t="s">
        <v>209</v>
      </c>
      <c r="H76" t="s">
        <v>210</v>
      </c>
      <c r="I76" t="s">
        <v>210</v>
      </c>
      <c r="J76" s="3">
        <v>903</v>
      </c>
      <c r="K76" s="3">
        <v>78256</v>
      </c>
      <c r="L76" t="s">
        <v>18</v>
      </c>
      <c r="M76" s="4">
        <f t="shared" si="2"/>
        <v>5.3609908286062955E-4</v>
      </c>
    </row>
    <row r="77" spans="1:13" ht="18.75" customHeight="1" x14ac:dyDescent="0.35">
      <c r="A77" s="3">
        <v>133</v>
      </c>
      <c r="B77" s="3">
        <v>905</v>
      </c>
      <c r="C77" t="s">
        <v>213</v>
      </c>
      <c r="D77" t="s">
        <v>214</v>
      </c>
      <c r="E77" t="s">
        <v>77</v>
      </c>
      <c r="H77" t="s">
        <v>210</v>
      </c>
      <c r="I77" t="s">
        <v>210</v>
      </c>
      <c r="J77" s="3">
        <v>905</v>
      </c>
      <c r="K77" s="3">
        <v>5248</v>
      </c>
      <c r="L77" t="s">
        <v>18</v>
      </c>
      <c r="M77" s="4">
        <f t="shared" si="2"/>
        <v>3.5951850169349107E-5</v>
      </c>
    </row>
    <row r="78" spans="1:13" ht="18.75" customHeight="1" x14ac:dyDescent="0.35">
      <c r="A78" s="3">
        <v>98</v>
      </c>
      <c r="B78" s="3">
        <v>715</v>
      </c>
      <c r="C78" t="s">
        <v>215</v>
      </c>
      <c r="D78" t="s">
        <v>216</v>
      </c>
      <c r="E78" t="s">
        <v>14</v>
      </c>
      <c r="F78" t="s">
        <v>21</v>
      </c>
      <c r="I78" t="s">
        <v>217</v>
      </c>
      <c r="J78" s="3">
        <v>715</v>
      </c>
      <c r="K78" s="3">
        <v>29927</v>
      </c>
      <c r="L78" t="s">
        <v>18</v>
      </c>
      <c r="M78" s="4">
        <f t="shared" si="2"/>
        <v>2.0501734375345099E-4</v>
      </c>
    </row>
    <row r="79" spans="1:13" ht="18.75" customHeight="1" x14ac:dyDescent="0.35">
      <c r="A79" s="3">
        <v>97</v>
      </c>
      <c r="B79" s="3">
        <v>714</v>
      </c>
      <c r="C79" t="s">
        <v>218</v>
      </c>
      <c r="D79" t="s">
        <v>219</v>
      </c>
      <c r="E79" t="s">
        <v>14</v>
      </c>
      <c r="F79" t="s">
        <v>21</v>
      </c>
      <c r="I79" t="s">
        <v>217</v>
      </c>
      <c r="J79" s="3">
        <v>714</v>
      </c>
      <c r="K79" s="3">
        <v>14572</v>
      </c>
      <c r="L79" t="s">
        <v>18</v>
      </c>
      <c r="M79" s="4">
        <f t="shared" si="2"/>
        <v>9.9826669334557007E-5</v>
      </c>
    </row>
    <row r="80" spans="1:13" ht="18.75" customHeight="1" x14ac:dyDescent="0.35">
      <c r="A80" s="3">
        <v>3</v>
      </c>
      <c r="B80" s="3">
        <v>504</v>
      </c>
      <c r="C80" t="s">
        <v>220</v>
      </c>
      <c r="D80" t="s">
        <v>221</v>
      </c>
      <c r="E80" t="s">
        <v>14</v>
      </c>
      <c r="F80" t="s">
        <v>25</v>
      </c>
      <c r="G80" t="s">
        <v>45</v>
      </c>
      <c r="H80" t="s">
        <v>222</v>
      </c>
      <c r="I80" t="s">
        <v>222</v>
      </c>
      <c r="J80" s="3">
        <v>504</v>
      </c>
      <c r="K80" s="3">
        <v>277793</v>
      </c>
      <c r="L80" t="s">
        <v>18</v>
      </c>
      <c r="M80" s="4">
        <f t="shared" si="2"/>
        <v>1.9030435049721792E-3</v>
      </c>
    </row>
    <row r="81" spans="1:13" ht="18.75" customHeight="1" x14ac:dyDescent="0.35">
      <c r="A81" s="3">
        <v>87</v>
      </c>
      <c r="B81" s="3">
        <v>704</v>
      </c>
      <c r="C81" t="s">
        <v>223</v>
      </c>
      <c r="D81" t="s">
        <v>224</v>
      </c>
      <c r="E81" t="s">
        <v>14</v>
      </c>
      <c r="F81" t="s">
        <v>15</v>
      </c>
      <c r="G81" t="s">
        <v>16</v>
      </c>
      <c r="H81" t="s">
        <v>225</v>
      </c>
      <c r="I81" t="s">
        <v>15</v>
      </c>
      <c r="J81" s="3">
        <v>704</v>
      </c>
      <c r="K81" s="3">
        <v>151695</v>
      </c>
      <c r="L81" t="s">
        <v>18</v>
      </c>
      <c r="M81" s="4">
        <f t="shared" si="2"/>
        <v>1.0391989160517174E-3</v>
      </c>
    </row>
    <row r="82" spans="1:13" ht="18.75" customHeight="1" x14ac:dyDescent="0.35">
      <c r="A82" s="3">
        <v>107</v>
      </c>
      <c r="B82" s="3">
        <v>731</v>
      </c>
      <c r="C82" t="s">
        <v>226</v>
      </c>
      <c r="D82" t="s">
        <v>227</v>
      </c>
      <c r="E82" t="s">
        <v>14</v>
      </c>
      <c r="F82" t="s">
        <v>21</v>
      </c>
      <c r="I82" t="s">
        <v>228</v>
      </c>
      <c r="J82" s="3">
        <v>731</v>
      </c>
      <c r="K82" s="3">
        <v>13368</v>
      </c>
      <c r="L82" t="s">
        <v>18</v>
      </c>
      <c r="M82" s="4">
        <f t="shared" si="2"/>
        <v>9.1578569562473109E-5</v>
      </c>
    </row>
    <row r="83" spans="1:13" ht="18.75" customHeight="1" x14ac:dyDescent="0.35">
      <c r="A83" s="3">
        <v>106</v>
      </c>
      <c r="B83" s="3">
        <v>730</v>
      </c>
      <c r="C83" t="s">
        <v>229</v>
      </c>
      <c r="D83" t="s">
        <v>230</v>
      </c>
      <c r="I83" t="s">
        <v>228</v>
      </c>
      <c r="J83" s="3">
        <v>730</v>
      </c>
      <c r="K83" s="3">
        <v>24</v>
      </c>
      <c r="L83" t="s">
        <v>18</v>
      </c>
      <c r="M83" s="4">
        <f t="shared" si="2"/>
        <v>1.6441394894519409E-7</v>
      </c>
    </row>
    <row r="84" spans="1:13" ht="18.75" customHeight="1" x14ac:dyDescent="0.35">
      <c r="A84" s="3">
        <v>130</v>
      </c>
      <c r="B84" s="3">
        <v>902</v>
      </c>
      <c r="C84" t="s">
        <v>231</v>
      </c>
      <c r="D84" t="s">
        <v>232</v>
      </c>
      <c r="E84" t="s">
        <v>14</v>
      </c>
      <c r="F84" t="s">
        <v>21</v>
      </c>
      <c r="G84" t="s">
        <v>233</v>
      </c>
      <c r="H84" t="s">
        <v>233</v>
      </c>
      <c r="I84" t="s">
        <v>234</v>
      </c>
      <c r="J84" s="3">
        <v>902</v>
      </c>
      <c r="K84" s="3">
        <v>5718895</v>
      </c>
      <c r="L84" t="s">
        <v>18</v>
      </c>
      <c r="M84" s="4">
        <f t="shared" si="2"/>
        <v>3.9177754606371906E-2</v>
      </c>
    </row>
    <row r="85" spans="1:13" ht="18.75" customHeight="1" x14ac:dyDescent="0.35">
      <c r="A85" s="3">
        <v>128</v>
      </c>
      <c r="B85" s="3">
        <v>898</v>
      </c>
      <c r="C85" t="s">
        <v>235</v>
      </c>
      <c r="D85" t="s">
        <v>236</v>
      </c>
      <c r="E85" t="s">
        <v>209</v>
      </c>
      <c r="H85" t="s">
        <v>233</v>
      </c>
      <c r="I85" t="s">
        <v>234</v>
      </c>
      <c r="J85" s="3">
        <v>898</v>
      </c>
      <c r="K85" s="3">
        <v>97310</v>
      </c>
      <c r="L85" t="s">
        <v>18</v>
      </c>
      <c r="M85" s="4">
        <f t="shared" si="2"/>
        <v>6.666300571607015E-4</v>
      </c>
    </row>
    <row r="86" spans="1:13" ht="18.75" customHeight="1" x14ac:dyDescent="0.35">
      <c r="A86" s="3">
        <v>127</v>
      </c>
      <c r="B86" s="3">
        <v>897</v>
      </c>
      <c r="C86" t="s">
        <v>237</v>
      </c>
      <c r="D86" t="s">
        <v>238</v>
      </c>
      <c r="E86" t="s">
        <v>209</v>
      </c>
      <c r="H86" t="s">
        <v>233</v>
      </c>
      <c r="I86" t="s">
        <v>234</v>
      </c>
      <c r="J86" s="3">
        <v>897</v>
      </c>
      <c r="K86" s="3">
        <v>7567</v>
      </c>
      <c r="L86" t="s">
        <v>18</v>
      </c>
      <c r="M86" s="4">
        <f t="shared" si="2"/>
        <v>5.1838347986178488E-5</v>
      </c>
    </row>
    <row r="87" spans="1:13" ht="18.75" customHeight="1" x14ac:dyDescent="0.35">
      <c r="A87" s="3">
        <v>110</v>
      </c>
      <c r="B87" s="3">
        <v>797</v>
      </c>
      <c r="C87" t="s">
        <v>239</v>
      </c>
      <c r="D87" t="s">
        <v>240</v>
      </c>
      <c r="E87" t="s">
        <v>14</v>
      </c>
      <c r="F87" t="s">
        <v>21</v>
      </c>
      <c r="G87" t="s">
        <v>38</v>
      </c>
      <c r="I87" t="s">
        <v>234</v>
      </c>
      <c r="J87" s="3">
        <v>797</v>
      </c>
      <c r="K87" s="3">
        <v>7026</v>
      </c>
      <c r="L87" t="s">
        <v>18</v>
      </c>
      <c r="M87" s="4">
        <f t="shared" si="2"/>
        <v>4.8132183553705573E-5</v>
      </c>
    </row>
    <row r="88" spans="1:13" ht="18.75" customHeight="1" x14ac:dyDescent="0.35">
      <c r="A88" s="3">
        <v>111</v>
      </c>
      <c r="B88" s="3">
        <v>798</v>
      </c>
      <c r="C88" t="s">
        <v>241</v>
      </c>
      <c r="D88" t="s">
        <v>242</v>
      </c>
      <c r="E88" t="s">
        <v>14</v>
      </c>
      <c r="F88" t="s">
        <v>21</v>
      </c>
      <c r="I88" t="s">
        <v>234</v>
      </c>
      <c r="J88" s="3">
        <v>798</v>
      </c>
      <c r="K88" s="3">
        <v>998</v>
      </c>
      <c r="L88" t="s">
        <v>18</v>
      </c>
      <c r="M88" s="4">
        <f t="shared" si="2"/>
        <v>6.8368800436376543E-6</v>
      </c>
    </row>
    <row r="89" spans="1:13" ht="18.75" customHeight="1" x14ac:dyDescent="0.35">
      <c r="A89" s="3">
        <v>109</v>
      </c>
      <c r="B89" s="3">
        <v>750</v>
      </c>
      <c r="C89" t="s">
        <v>243</v>
      </c>
      <c r="I89" t="s">
        <v>234</v>
      </c>
      <c r="J89" s="3">
        <v>750</v>
      </c>
      <c r="K89" s="3">
        <v>4</v>
      </c>
      <c r="L89" t="s">
        <v>18</v>
      </c>
      <c r="M89" s="4">
        <f t="shared" si="2"/>
        <v>2.7402324824199014E-8</v>
      </c>
    </row>
    <row r="90" spans="1:13" ht="18.75" customHeight="1" x14ac:dyDescent="0.35">
      <c r="A90" s="3">
        <v>119</v>
      </c>
      <c r="B90" s="3">
        <v>830</v>
      </c>
      <c r="C90" t="s">
        <v>244</v>
      </c>
      <c r="I90" t="s">
        <v>245</v>
      </c>
      <c r="J90" s="3">
        <v>830</v>
      </c>
      <c r="K90" s="3">
        <v>335</v>
      </c>
      <c r="L90" t="s">
        <v>18</v>
      </c>
      <c r="M90" s="4">
        <f t="shared" si="2"/>
        <v>2.2949447040266673E-6</v>
      </c>
    </row>
    <row r="91" spans="1:13" ht="18.75" customHeight="1" x14ac:dyDescent="0.35">
      <c r="A91" s="3">
        <v>118</v>
      </c>
      <c r="B91" s="3">
        <v>810</v>
      </c>
      <c r="C91" t="s">
        <v>246</v>
      </c>
      <c r="D91" t="s">
        <v>246</v>
      </c>
      <c r="I91" t="s">
        <v>245</v>
      </c>
      <c r="J91" s="3">
        <v>810</v>
      </c>
      <c r="K91" s="3">
        <v>9</v>
      </c>
      <c r="L91" t="s">
        <v>18</v>
      </c>
      <c r="M91" s="4">
        <f t="shared" si="2"/>
        <v>6.1655230854447787E-8</v>
      </c>
    </row>
    <row r="92" spans="1:13" ht="18.75" customHeight="1" x14ac:dyDescent="0.35">
      <c r="A92" s="3">
        <v>69</v>
      </c>
      <c r="B92" s="3">
        <v>616</v>
      </c>
      <c r="C92" t="s">
        <v>247</v>
      </c>
      <c r="D92" t="s">
        <v>248</v>
      </c>
      <c r="E92" t="s">
        <v>14</v>
      </c>
      <c r="F92" t="s">
        <v>37</v>
      </c>
      <c r="G92" t="s">
        <v>116</v>
      </c>
      <c r="H92" t="s">
        <v>116</v>
      </c>
      <c r="I92" t="s">
        <v>116</v>
      </c>
      <c r="J92" s="3">
        <v>616</v>
      </c>
      <c r="K92" s="3">
        <v>9344713</v>
      </c>
      <c r="L92" t="s">
        <v>18</v>
      </c>
      <c r="M92" s="4">
        <f t="shared" si="2"/>
        <v>6.4016715253728818E-2</v>
      </c>
    </row>
    <row r="93" spans="1:13" ht="18.75" customHeight="1" x14ac:dyDescent="0.35">
      <c r="A93" s="3">
        <v>71</v>
      </c>
      <c r="B93" s="3">
        <v>618</v>
      </c>
      <c r="C93" t="s">
        <v>114</v>
      </c>
      <c r="D93" t="s">
        <v>115</v>
      </c>
      <c r="E93" t="s">
        <v>14</v>
      </c>
      <c r="F93" t="s">
        <v>37</v>
      </c>
      <c r="G93" t="s">
        <v>116</v>
      </c>
      <c r="H93" t="s">
        <v>116</v>
      </c>
      <c r="I93" t="s">
        <v>116</v>
      </c>
      <c r="J93" s="3">
        <v>618</v>
      </c>
      <c r="K93" s="3">
        <v>688124</v>
      </c>
      <c r="L93" t="s">
        <v>18</v>
      </c>
      <c r="M93" s="4">
        <f t="shared" si="2"/>
        <v>4.7140493418317804E-3</v>
      </c>
    </row>
    <row r="94" spans="1:13" ht="18.75" customHeight="1" x14ac:dyDescent="0.35">
      <c r="A94" s="3">
        <v>140</v>
      </c>
      <c r="B94" s="3">
        <v>933</v>
      </c>
      <c r="C94" t="s">
        <v>249</v>
      </c>
      <c r="I94" t="s">
        <v>116</v>
      </c>
      <c r="J94" s="3">
        <v>933</v>
      </c>
      <c r="K94" s="3">
        <v>182521</v>
      </c>
      <c r="L94" t="s">
        <v>18</v>
      </c>
      <c r="M94" s="4">
        <f t="shared" si="2"/>
        <v>1.250374932309407E-3</v>
      </c>
    </row>
    <row r="95" spans="1:13" ht="18.75" customHeight="1" x14ac:dyDescent="0.35">
      <c r="A95" s="3">
        <v>79</v>
      </c>
      <c r="B95" s="3">
        <v>660</v>
      </c>
      <c r="C95" t="s">
        <v>250</v>
      </c>
      <c r="I95" t="s">
        <v>116</v>
      </c>
      <c r="J95" s="3">
        <v>660</v>
      </c>
      <c r="K95" s="3">
        <v>8</v>
      </c>
      <c r="L95" t="s">
        <v>18</v>
      </c>
      <c r="M95" s="4">
        <f t="shared" si="2"/>
        <v>5.4804649648398027E-8</v>
      </c>
    </row>
    <row r="96" spans="1:13" ht="18.75" customHeight="1" x14ac:dyDescent="0.35">
      <c r="A96" s="3">
        <v>70</v>
      </c>
      <c r="B96" s="3">
        <v>617</v>
      </c>
      <c r="C96" t="s">
        <v>251</v>
      </c>
      <c r="D96" t="s">
        <v>252</v>
      </c>
      <c r="E96" t="s">
        <v>14</v>
      </c>
      <c r="F96" t="s">
        <v>37</v>
      </c>
      <c r="G96" t="s">
        <v>116</v>
      </c>
      <c r="H96" t="s">
        <v>116</v>
      </c>
      <c r="I96" t="s">
        <v>253</v>
      </c>
      <c r="J96" s="3">
        <v>617</v>
      </c>
      <c r="K96" s="3">
        <v>4787847</v>
      </c>
      <c r="L96" t="s">
        <v>18</v>
      </c>
      <c r="M96" s="4">
        <f t="shared" si="2"/>
        <v>3.2799534675641694E-2</v>
      </c>
    </row>
    <row r="97" spans="1:13" ht="18.75" customHeight="1" x14ac:dyDescent="0.35">
      <c r="A97" s="3">
        <v>135</v>
      </c>
      <c r="B97" s="3">
        <v>907</v>
      </c>
      <c r="C97" t="s">
        <v>254</v>
      </c>
      <c r="D97" t="s">
        <v>255</v>
      </c>
      <c r="E97" t="s">
        <v>93</v>
      </c>
      <c r="I97" t="s">
        <v>256</v>
      </c>
      <c r="J97" s="3">
        <v>907</v>
      </c>
      <c r="K97" s="3">
        <v>10534</v>
      </c>
      <c r="L97" t="s">
        <v>18</v>
      </c>
      <c r="M97" s="4">
        <f t="shared" si="2"/>
        <v>7.2164022424528104E-5</v>
      </c>
    </row>
    <row r="98" spans="1:13" ht="18.75" customHeight="1" x14ac:dyDescent="0.35">
      <c r="A98" s="3">
        <v>86</v>
      </c>
      <c r="B98" s="3">
        <v>703</v>
      </c>
      <c r="C98" t="s">
        <v>257</v>
      </c>
      <c r="D98" t="s">
        <v>258</v>
      </c>
      <c r="E98" t="s">
        <v>14</v>
      </c>
      <c r="F98" t="s">
        <v>15</v>
      </c>
      <c r="G98" t="s">
        <v>16</v>
      </c>
      <c r="H98" t="s">
        <v>259</v>
      </c>
      <c r="I98" t="s">
        <v>259</v>
      </c>
      <c r="J98" s="3">
        <v>703</v>
      </c>
      <c r="K98" s="3">
        <v>74016</v>
      </c>
      <c r="L98" t="s">
        <v>18</v>
      </c>
      <c r="M98" s="4">
        <f t="shared" ref="M98:M129" si="3">K98/SUM($K$1:$K$3000)</f>
        <v>5.0705261854697853E-4</v>
      </c>
    </row>
    <row r="99" spans="1:13" ht="18.75" customHeight="1" x14ac:dyDescent="0.35">
      <c r="A99" s="3">
        <v>28</v>
      </c>
      <c r="B99" s="3">
        <v>537</v>
      </c>
      <c r="C99" t="s">
        <v>260</v>
      </c>
      <c r="D99" t="s">
        <v>261</v>
      </c>
      <c r="E99" t="s">
        <v>14</v>
      </c>
      <c r="F99" t="s">
        <v>25</v>
      </c>
      <c r="G99" t="s">
        <v>26</v>
      </c>
      <c r="H99" t="s">
        <v>262</v>
      </c>
      <c r="I99" t="s">
        <v>262</v>
      </c>
      <c r="J99" s="3">
        <v>537</v>
      </c>
      <c r="K99" s="3">
        <v>255364</v>
      </c>
      <c r="L99" t="s">
        <v>18</v>
      </c>
      <c r="M99" s="4">
        <f t="shared" si="3"/>
        <v>1.7493918191016894E-3</v>
      </c>
    </row>
    <row r="100" spans="1:13" ht="18.75" customHeight="1" x14ac:dyDescent="0.35">
      <c r="A100" s="3">
        <v>105</v>
      </c>
      <c r="B100" s="3">
        <v>725</v>
      </c>
      <c r="C100" t="s">
        <v>263</v>
      </c>
      <c r="D100" t="s">
        <v>264</v>
      </c>
      <c r="E100" t="s">
        <v>14</v>
      </c>
      <c r="I100" t="s">
        <v>264</v>
      </c>
      <c r="J100" s="3">
        <v>725</v>
      </c>
      <c r="K100" s="3">
        <v>7931</v>
      </c>
      <c r="L100" t="s">
        <v>18</v>
      </c>
      <c r="M100" s="4">
        <f t="shared" si="3"/>
        <v>5.4331959545180595E-5</v>
      </c>
    </row>
    <row r="101" spans="1:13" ht="18.75" customHeight="1" x14ac:dyDescent="0.35">
      <c r="A101" s="3">
        <v>83</v>
      </c>
      <c r="B101" s="3">
        <v>698</v>
      </c>
      <c r="C101" t="s">
        <v>265</v>
      </c>
      <c r="D101" t="s">
        <v>266</v>
      </c>
      <c r="E101" t="s">
        <v>14</v>
      </c>
      <c r="F101" t="s">
        <v>37</v>
      </c>
      <c r="I101" t="s">
        <v>267</v>
      </c>
      <c r="J101" s="3">
        <v>698</v>
      </c>
      <c r="K101" s="3">
        <v>64942</v>
      </c>
      <c r="L101" t="s">
        <v>18</v>
      </c>
      <c r="M101" s="4">
        <f t="shared" si="3"/>
        <v>4.4489044468328312E-4</v>
      </c>
    </row>
    <row r="102" spans="1:13" ht="18.75" customHeight="1" x14ac:dyDescent="0.35">
      <c r="A102" s="3">
        <v>82</v>
      </c>
      <c r="B102" s="3">
        <v>697</v>
      </c>
      <c r="C102" t="s">
        <v>268</v>
      </c>
      <c r="D102" t="s">
        <v>269</v>
      </c>
      <c r="E102" t="s">
        <v>14</v>
      </c>
      <c r="F102" t="s">
        <v>37</v>
      </c>
      <c r="G102" t="s">
        <v>38</v>
      </c>
      <c r="I102" t="s">
        <v>267</v>
      </c>
      <c r="J102" s="3">
        <v>697</v>
      </c>
      <c r="K102" s="3">
        <v>25438</v>
      </c>
      <c r="L102" t="s">
        <v>18</v>
      </c>
      <c r="M102" s="4">
        <f t="shared" si="3"/>
        <v>1.7426508471949363E-4</v>
      </c>
    </row>
    <row r="103" spans="1:13" ht="18.75" customHeight="1" x14ac:dyDescent="0.35">
      <c r="A103" s="3">
        <v>19</v>
      </c>
      <c r="B103" s="3">
        <v>524</v>
      </c>
      <c r="C103" t="s">
        <v>270</v>
      </c>
      <c r="D103" t="s">
        <v>271</v>
      </c>
      <c r="E103" t="s">
        <v>14</v>
      </c>
      <c r="F103" t="s">
        <v>25</v>
      </c>
      <c r="G103" t="s">
        <v>26</v>
      </c>
      <c r="H103" t="s">
        <v>272</v>
      </c>
      <c r="I103" t="s">
        <v>272</v>
      </c>
      <c r="J103" s="3">
        <v>524</v>
      </c>
      <c r="K103" s="3">
        <v>917989</v>
      </c>
      <c r="L103" t="s">
        <v>18</v>
      </c>
      <c r="M103" s="4">
        <f t="shared" si="3"/>
        <v>6.2887581907604077E-3</v>
      </c>
    </row>
    <row r="104" spans="1:13" ht="18.75" customHeight="1" x14ac:dyDescent="0.35">
      <c r="A104" s="3">
        <v>20</v>
      </c>
      <c r="B104" s="3">
        <v>525</v>
      </c>
      <c r="C104" t="s">
        <v>273</v>
      </c>
      <c r="D104" t="s">
        <v>274</v>
      </c>
      <c r="E104" t="s">
        <v>14</v>
      </c>
      <c r="F104" t="s">
        <v>25</v>
      </c>
      <c r="G104" t="s">
        <v>26</v>
      </c>
      <c r="H104" t="s">
        <v>272</v>
      </c>
      <c r="I104" t="s">
        <v>272</v>
      </c>
      <c r="J104" s="3">
        <v>525</v>
      </c>
      <c r="K104" s="3">
        <v>148652</v>
      </c>
      <c r="L104" t="s">
        <v>18</v>
      </c>
      <c r="M104" s="4">
        <f t="shared" si="3"/>
        <v>1.018352597441708E-3</v>
      </c>
    </row>
    <row r="105" spans="1:13" ht="18.75" customHeight="1" x14ac:dyDescent="0.35">
      <c r="A105" s="3">
        <v>30</v>
      </c>
      <c r="B105" s="3">
        <v>539</v>
      </c>
      <c r="C105" t="s">
        <v>275</v>
      </c>
      <c r="D105" t="s">
        <v>276</v>
      </c>
      <c r="E105" t="s">
        <v>14</v>
      </c>
      <c r="F105" t="s">
        <v>25</v>
      </c>
      <c r="G105" t="s">
        <v>52</v>
      </c>
      <c r="H105" t="s">
        <v>277</v>
      </c>
      <c r="I105" t="s">
        <v>277</v>
      </c>
      <c r="J105" s="3">
        <v>539</v>
      </c>
      <c r="K105" s="3">
        <v>12404</v>
      </c>
      <c r="L105" t="s">
        <v>18</v>
      </c>
      <c r="M105" s="4">
        <f t="shared" si="3"/>
        <v>8.4974609279841142E-5</v>
      </c>
    </row>
    <row r="106" spans="1:13" ht="18.75" customHeight="1" x14ac:dyDescent="0.35">
      <c r="A106" s="3">
        <v>8</v>
      </c>
      <c r="B106" s="3">
        <v>509</v>
      </c>
      <c r="C106" t="s">
        <v>278</v>
      </c>
      <c r="D106" t="s">
        <v>279</v>
      </c>
      <c r="E106" t="s">
        <v>14</v>
      </c>
      <c r="F106" t="s">
        <v>25</v>
      </c>
      <c r="G106" t="s">
        <v>45</v>
      </c>
      <c r="H106" t="s">
        <v>279</v>
      </c>
      <c r="I106" t="s">
        <v>279</v>
      </c>
      <c r="J106" s="3">
        <v>509</v>
      </c>
      <c r="K106" s="3">
        <v>6395</v>
      </c>
      <c r="L106" t="s">
        <v>18</v>
      </c>
      <c r="M106" s="4">
        <f t="shared" si="3"/>
        <v>4.3809466812688175E-5</v>
      </c>
    </row>
    <row r="107" spans="1:13" ht="18.75" customHeight="1" x14ac:dyDescent="0.35">
      <c r="A107" s="3">
        <v>78</v>
      </c>
      <c r="B107" s="3">
        <v>634</v>
      </c>
      <c r="C107" t="s">
        <v>280</v>
      </c>
      <c r="D107" t="s">
        <v>281</v>
      </c>
      <c r="E107" t="s">
        <v>14</v>
      </c>
      <c r="F107" t="s">
        <v>37</v>
      </c>
      <c r="G107" t="s">
        <v>107</v>
      </c>
      <c r="H107" t="s">
        <v>107</v>
      </c>
      <c r="I107" t="s">
        <v>282</v>
      </c>
      <c r="J107" s="3">
        <v>634</v>
      </c>
      <c r="K107" s="3">
        <v>17574</v>
      </c>
      <c r="L107" t="s">
        <v>18</v>
      </c>
      <c r="M107" s="4">
        <f t="shared" si="3"/>
        <v>1.2039211411511838E-4</v>
      </c>
    </row>
    <row r="108" spans="1:13" ht="18.75" customHeight="1" x14ac:dyDescent="0.35">
      <c r="A108" s="3">
        <v>12</v>
      </c>
      <c r="B108" s="3">
        <v>514</v>
      </c>
      <c r="C108" t="s">
        <v>283</v>
      </c>
      <c r="D108" t="s">
        <v>284</v>
      </c>
      <c r="E108" t="s">
        <v>14</v>
      </c>
      <c r="F108" t="s">
        <v>25</v>
      </c>
      <c r="G108" t="s">
        <v>45</v>
      </c>
      <c r="H108" t="s">
        <v>285</v>
      </c>
      <c r="I108" t="s">
        <v>285</v>
      </c>
      <c r="J108" s="3">
        <v>514</v>
      </c>
      <c r="K108" s="3">
        <v>180045</v>
      </c>
      <c r="L108" t="s">
        <v>18</v>
      </c>
      <c r="M108" s="4">
        <f t="shared" si="3"/>
        <v>1.233412893243228E-3</v>
      </c>
    </row>
    <row r="109" spans="1:13" ht="18.75" customHeight="1" x14ac:dyDescent="0.35">
      <c r="A109" s="3">
        <v>39</v>
      </c>
      <c r="B109" s="3">
        <v>549</v>
      </c>
      <c r="C109" t="s">
        <v>286</v>
      </c>
      <c r="D109" t="s">
        <v>287</v>
      </c>
      <c r="E109" t="s">
        <v>14</v>
      </c>
      <c r="F109" t="s">
        <v>25</v>
      </c>
      <c r="G109" t="s">
        <v>175</v>
      </c>
      <c r="H109" t="s">
        <v>286</v>
      </c>
      <c r="I109" t="s">
        <v>286</v>
      </c>
      <c r="J109" s="3">
        <v>549</v>
      </c>
      <c r="K109" s="3">
        <v>28751</v>
      </c>
      <c r="L109" t="s">
        <v>18</v>
      </c>
      <c r="M109" s="4">
        <f t="shared" si="3"/>
        <v>1.9696106025513647E-4</v>
      </c>
    </row>
    <row r="110" spans="1:13" ht="18.75" customHeight="1" x14ac:dyDescent="0.35">
      <c r="A110" s="3">
        <v>32</v>
      </c>
      <c r="B110" s="3">
        <v>542</v>
      </c>
      <c r="C110" t="s">
        <v>288</v>
      </c>
      <c r="D110" t="s">
        <v>289</v>
      </c>
      <c r="E110" t="s">
        <v>14</v>
      </c>
      <c r="F110" t="s">
        <v>25</v>
      </c>
      <c r="G110" t="s">
        <v>175</v>
      </c>
      <c r="H110" t="s">
        <v>286</v>
      </c>
      <c r="I110" t="s">
        <v>286</v>
      </c>
      <c r="J110" s="3">
        <v>542</v>
      </c>
      <c r="K110" s="3">
        <v>28091</v>
      </c>
      <c r="L110" t="s">
        <v>18</v>
      </c>
      <c r="M110" s="4">
        <f t="shared" si="3"/>
        <v>1.9243967665914363E-4</v>
      </c>
    </row>
    <row r="111" spans="1:13" ht="18.75" customHeight="1" x14ac:dyDescent="0.35">
      <c r="A111" s="3">
        <v>23</v>
      </c>
      <c r="B111" s="3">
        <v>528</v>
      </c>
      <c r="C111" t="s">
        <v>290</v>
      </c>
      <c r="D111" t="s">
        <v>291</v>
      </c>
      <c r="E111" t="s">
        <v>14</v>
      </c>
      <c r="F111" t="s">
        <v>25</v>
      </c>
      <c r="G111" t="s">
        <v>26</v>
      </c>
      <c r="H111" t="s">
        <v>292</v>
      </c>
      <c r="I111" t="s">
        <v>292</v>
      </c>
      <c r="J111" s="3">
        <v>528</v>
      </c>
      <c r="K111" s="3">
        <v>285505</v>
      </c>
      <c r="L111" t="s">
        <v>18</v>
      </c>
      <c r="M111" s="4">
        <f t="shared" si="3"/>
        <v>1.9558751872332351E-3</v>
      </c>
    </row>
    <row r="112" spans="1:13" ht="18.75" customHeight="1" x14ac:dyDescent="0.35">
      <c r="A112" s="3">
        <v>116</v>
      </c>
      <c r="B112" s="3">
        <v>807</v>
      </c>
      <c r="C112" t="s">
        <v>293</v>
      </c>
      <c r="D112" t="s">
        <v>294</v>
      </c>
      <c r="G112" t="s">
        <v>295</v>
      </c>
      <c r="H112" t="s">
        <v>140</v>
      </c>
      <c r="I112" t="s">
        <v>140</v>
      </c>
      <c r="J112" s="3">
        <v>807</v>
      </c>
      <c r="K112" s="3">
        <v>5310</v>
      </c>
      <c r="L112" t="s">
        <v>18</v>
      </c>
      <c r="M112" s="4">
        <f t="shared" si="3"/>
        <v>3.6376586204124195E-5</v>
      </c>
    </row>
    <row r="113" spans="1:13" ht="18.75" customHeight="1" x14ac:dyDescent="0.35">
      <c r="A113" s="3">
        <v>117</v>
      </c>
      <c r="B113" s="3">
        <v>808</v>
      </c>
      <c r="C113" t="s">
        <v>296</v>
      </c>
      <c r="D113" t="s">
        <v>297</v>
      </c>
      <c r="G113" t="s">
        <v>295</v>
      </c>
      <c r="H113" t="s">
        <v>140</v>
      </c>
      <c r="I113" t="s">
        <v>140</v>
      </c>
      <c r="J113" s="3">
        <v>808</v>
      </c>
      <c r="K113" s="3">
        <v>2941</v>
      </c>
      <c r="L113" t="s">
        <v>18</v>
      </c>
      <c r="M113" s="4">
        <f t="shared" si="3"/>
        <v>2.0147559326992327E-5</v>
      </c>
    </row>
    <row r="114" spans="1:13" ht="18.75" customHeight="1" x14ac:dyDescent="0.35">
      <c r="A114" s="3">
        <v>120</v>
      </c>
      <c r="B114" s="3">
        <v>847</v>
      </c>
      <c r="C114" t="s">
        <v>298</v>
      </c>
      <c r="D114" t="s">
        <v>299</v>
      </c>
      <c r="G114" t="s">
        <v>295</v>
      </c>
      <c r="H114" t="s">
        <v>140</v>
      </c>
      <c r="I114" t="s">
        <v>140</v>
      </c>
      <c r="J114" s="3">
        <v>847</v>
      </c>
      <c r="K114" s="3">
        <v>266</v>
      </c>
      <c r="L114" t="s">
        <v>18</v>
      </c>
      <c r="M114" s="4">
        <f t="shared" si="3"/>
        <v>1.8222546008092345E-6</v>
      </c>
    </row>
    <row r="115" spans="1:13" ht="18.75" customHeight="1" x14ac:dyDescent="0.35">
      <c r="A115" s="3">
        <v>122</v>
      </c>
      <c r="B115" s="3">
        <v>849</v>
      </c>
      <c r="C115" t="s">
        <v>300</v>
      </c>
      <c r="D115" t="s">
        <v>301</v>
      </c>
      <c r="G115" t="s">
        <v>295</v>
      </c>
      <c r="H115" t="s">
        <v>140</v>
      </c>
      <c r="I115" t="s">
        <v>140</v>
      </c>
      <c r="J115" s="3">
        <v>849</v>
      </c>
      <c r="K115" s="3">
        <v>189</v>
      </c>
      <c r="L115" t="s">
        <v>18</v>
      </c>
      <c r="M115" s="4">
        <f t="shared" si="3"/>
        <v>1.2947598479434035E-6</v>
      </c>
    </row>
    <row r="116" spans="1:13" ht="18.75" customHeight="1" x14ac:dyDescent="0.35">
      <c r="A116" s="3">
        <v>14</v>
      </c>
      <c r="B116" s="3">
        <v>516</v>
      </c>
      <c r="C116" t="s">
        <v>302</v>
      </c>
      <c r="D116" t="s">
        <v>303</v>
      </c>
      <c r="E116" t="s">
        <v>14</v>
      </c>
      <c r="F116" t="s">
        <v>25</v>
      </c>
      <c r="G116" t="s">
        <v>45</v>
      </c>
      <c r="H116" t="s">
        <v>303</v>
      </c>
      <c r="I116" t="s">
        <v>303</v>
      </c>
      <c r="J116" s="3">
        <v>516</v>
      </c>
      <c r="K116" s="3">
        <v>788241</v>
      </c>
      <c r="L116" t="s">
        <v>18</v>
      </c>
      <c r="M116" s="4">
        <f t="shared" si="3"/>
        <v>5.3999089804378638E-3</v>
      </c>
    </row>
    <row r="117" spans="1:13" ht="18.75" customHeight="1" x14ac:dyDescent="0.35">
      <c r="A117" s="3">
        <v>17</v>
      </c>
      <c r="B117" s="3">
        <v>522</v>
      </c>
      <c r="C117" t="s">
        <v>304</v>
      </c>
      <c r="D117" t="s">
        <v>305</v>
      </c>
      <c r="E117" t="s">
        <v>14</v>
      </c>
      <c r="F117" t="s">
        <v>25</v>
      </c>
      <c r="G117" t="s">
        <v>26</v>
      </c>
      <c r="H117" t="s">
        <v>306</v>
      </c>
      <c r="I117" t="s">
        <v>305</v>
      </c>
      <c r="J117" s="3">
        <v>522</v>
      </c>
      <c r="K117" s="3">
        <v>1554675</v>
      </c>
      <c r="L117" t="s">
        <v>18</v>
      </c>
      <c r="M117" s="4">
        <f t="shared" si="3"/>
        <v>1.0650427336515401E-2</v>
      </c>
    </row>
    <row r="118" spans="1:13" ht="18.75" customHeight="1" x14ac:dyDescent="0.35">
      <c r="A118" s="3">
        <v>1</v>
      </c>
      <c r="B118" s="3">
        <v>501</v>
      </c>
      <c r="C118" t="s">
        <v>307</v>
      </c>
      <c r="D118" t="s">
        <v>308</v>
      </c>
      <c r="E118" t="s">
        <v>14</v>
      </c>
      <c r="F118" t="s">
        <v>25</v>
      </c>
      <c r="G118" t="s">
        <v>45</v>
      </c>
      <c r="H118" t="s">
        <v>309</v>
      </c>
      <c r="I118" t="s">
        <v>310</v>
      </c>
      <c r="J118" s="3">
        <v>501</v>
      </c>
      <c r="K118" s="3">
        <v>84139</v>
      </c>
      <c r="L118" t="s">
        <v>18</v>
      </c>
      <c r="M118" s="4">
        <f t="shared" si="3"/>
        <v>5.7640105209582021E-4</v>
      </c>
    </row>
    <row r="119" spans="1:13" ht="18.75" customHeight="1" x14ac:dyDescent="0.35">
      <c r="A119" s="3">
        <v>21</v>
      </c>
      <c r="B119" s="3">
        <v>526</v>
      </c>
      <c r="C119" t="s">
        <v>311</v>
      </c>
      <c r="D119" t="s">
        <v>312</v>
      </c>
      <c r="E119" t="s">
        <v>14</v>
      </c>
      <c r="F119" t="s">
        <v>25</v>
      </c>
      <c r="G119" t="s">
        <v>26</v>
      </c>
      <c r="H119" t="s">
        <v>313</v>
      </c>
      <c r="I119" t="s">
        <v>314</v>
      </c>
      <c r="J119" s="3">
        <v>526</v>
      </c>
      <c r="K119" s="3">
        <v>9426</v>
      </c>
      <c r="L119" t="s">
        <v>18</v>
      </c>
      <c r="M119" s="4">
        <f t="shared" si="3"/>
        <v>6.4573578448224981E-5</v>
      </c>
    </row>
    <row r="120" spans="1:13" ht="18.75" customHeight="1" x14ac:dyDescent="0.35">
      <c r="A120" s="3">
        <v>10</v>
      </c>
      <c r="B120" s="3">
        <v>512</v>
      </c>
      <c r="C120" t="s">
        <v>315</v>
      </c>
      <c r="D120" t="s">
        <v>316</v>
      </c>
      <c r="E120" t="s">
        <v>14</v>
      </c>
      <c r="F120" t="s">
        <v>25</v>
      </c>
      <c r="G120" t="s">
        <v>45</v>
      </c>
      <c r="H120" t="s">
        <v>317</v>
      </c>
      <c r="I120" t="s">
        <v>318</v>
      </c>
      <c r="J120" s="3">
        <v>512</v>
      </c>
      <c r="K120" s="3">
        <v>105769</v>
      </c>
      <c r="L120" t="s">
        <v>18</v>
      </c>
      <c r="M120" s="4">
        <f t="shared" si="3"/>
        <v>7.2457912358267636E-4</v>
      </c>
    </row>
    <row r="121" spans="1:13" ht="18.75" customHeight="1" x14ac:dyDescent="0.35">
      <c r="A121" s="3">
        <v>72</v>
      </c>
      <c r="B121" s="3">
        <v>621</v>
      </c>
      <c r="C121" t="s">
        <v>319</v>
      </c>
      <c r="D121" t="s">
        <v>320</v>
      </c>
      <c r="E121" t="s">
        <v>14</v>
      </c>
      <c r="F121" t="s">
        <v>37</v>
      </c>
      <c r="G121" t="s">
        <v>107</v>
      </c>
      <c r="H121" t="s">
        <v>107</v>
      </c>
      <c r="I121" t="s">
        <v>321</v>
      </c>
      <c r="J121" s="3">
        <v>621</v>
      </c>
      <c r="K121" s="3">
        <v>91808</v>
      </c>
      <c r="L121" t="s">
        <v>18</v>
      </c>
      <c r="M121" s="4">
        <f t="shared" si="3"/>
        <v>6.2893815936501576E-4</v>
      </c>
    </row>
    <row r="122" spans="1:13" ht="18.75" customHeight="1" x14ac:dyDescent="0.35">
      <c r="A122" s="3">
        <v>73</v>
      </c>
      <c r="B122" s="3">
        <v>622</v>
      </c>
      <c r="C122" t="s">
        <v>322</v>
      </c>
      <c r="D122" t="s">
        <v>323</v>
      </c>
      <c r="E122" t="s">
        <v>14</v>
      </c>
      <c r="F122" t="s">
        <v>37</v>
      </c>
      <c r="G122" t="s">
        <v>107</v>
      </c>
      <c r="H122" t="s">
        <v>107</v>
      </c>
      <c r="I122" t="s">
        <v>324</v>
      </c>
      <c r="J122" s="3">
        <v>622</v>
      </c>
      <c r="K122" s="3">
        <v>94995</v>
      </c>
      <c r="L122" t="s">
        <v>18</v>
      </c>
      <c r="M122" s="4">
        <f t="shared" si="3"/>
        <v>6.5077096166869634E-4</v>
      </c>
    </row>
    <row r="123" spans="1:13" ht="18.75" customHeight="1" x14ac:dyDescent="0.35">
      <c r="A123" s="3">
        <v>74</v>
      </c>
      <c r="B123" s="3">
        <v>623</v>
      </c>
      <c r="C123" t="s">
        <v>325</v>
      </c>
      <c r="D123" t="s">
        <v>323</v>
      </c>
      <c r="E123" t="s">
        <v>14</v>
      </c>
      <c r="F123" t="s">
        <v>37</v>
      </c>
      <c r="G123" t="s">
        <v>107</v>
      </c>
      <c r="H123" t="s">
        <v>107</v>
      </c>
      <c r="I123" t="s">
        <v>324</v>
      </c>
      <c r="J123" s="3">
        <v>623</v>
      </c>
      <c r="K123" s="3">
        <v>30841</v>
      </c>
      <c r="L123" t="s">
        <v>18</v>
      </c>
      <c r="M123" s="4">
        <f t="shared" si="3"/>
        <v>2.1127877497578045E-4</v>
      </c>
    </row>
    <row r="124" spans="1:13" ht="18.75" customHeight="1" x14ac:dyDescent="0.35">
      <c r="A124" s="3">
        <v>139</v>
      </c>
      <c r="B124" s="3">
        <v>930</v>
      </c>
      <c r="C124" t="s">
        <v>326</v>
      </c>
      <c r="D124" t="s">
        <v>327</v>
      </c>
      <c r="E124" t="s">
        <v>14</v>
      </c>
      <c r="F124" t="s">
        <v>37</v>
      </c>
      <c r="G124" t="s">
        <v>116</v>
      </c>
      <c r="H124" t="s">
        <v>116</v>
      </c>
      <c r="I124" t="s">
        <v>328</v>
      </c>
      <c r="J124" s="3">
        <v>930</v>
      </c>
      <c r="K124" s="3">
        <v>33352007</v>
      </c>
      <c r="L124" t="s">
        <v>18</v>
      </c>
      <c r="M124" s="4">
        <f t="shared" si="3"/>
        <v>0.22848063233823984</v>
      </c>
    </row>
    <row r="125" spans="1:13" ht="18.75" customHeight="1" x14ac:dyDescent="0.35">
      <c r="A125" s="3">
        <v>24</v>
      </c>
      <c r="B125" s="3">
        <v>531</v>
      </c>
      <c r="C125" t="s">
        <v>329</v>
      </c>
      <c r="D125" t="s">
        <v>330</v>
      </c>
      <c r="E125" t="s">
        <v>14</v>
      </c>
      <c r="F125" t="s">
        <v>25</v>
      </c>
      <c r="G125" t="s">
        <v>26</v>
      </c>
      <c r="H125" t="s">
        <v>330</v>
      </c>
      <c r="I125" t="s">
        <v>330</v>
      </c>
      <c r="J125" s="3">
        <v>531</v>
      </c>
      <c r="K125" s="3">
        <v>513134</v>
      </c>
      <c r="L125" t="s">
        <v>18</v>
      </c>
      <c r="M125" s="4">
        <f t="shared" si="3"/>
        <v>3.5152661365851342E-3</v>
      </c>
    </row>
    <row r="126" spans="1:13" ht="18.75" customHeight="1" x14ac:dyDescent="0.35">
      <c r="A126" s="3">
        <v>59</v>
      </c>
      <c r="B126" s="3">
        <v>592</v>
      </c>
      <c r="C126" t="s">
        <v>331</v>
      </c>
      <c r="D126" t="s">
        <v>332</v>
      </c>
      <c r="E126" t="s">
        <v>14</v>
      </c>
      <c r="F126" t="s">
        <v>25</v>
      </c>
      <c r="G126" t="s">
        <v>26</v>
      </c>
      <c r="H126" t="s">
        <v>330</v>
      </c>
      <c r="I126" t="s">
        <v>330</v>
      </c>
      <c r="J126" s="3">
        <v>592</v>
      </c>
      <c r="K126" s="3">
        <v>4223</v>
      </c>
      <c r="L126" t="s">
        <v>18</v>
      </c>
      <c r="M126" s="4">
        <f t="shared" si="3"/>
        <v>2.8930004433148109E-5</v>
      </c>
    </row>
    <row r="127" spans="1:13" ht="18.75" customHeight="1" x14ac:dyDescent="0.35">
      <c r="A127" s="3">
        <v>31</v>
      </c>
      <c r="B127" s="3">
        <v>541</v>
      </c>
      <c r="C127" t="s">
        <v>333</v>
      </c>
      <c r="D127" t="s">
        <v>334</v>
      </c>
      <c r="E127" t="s">
        <v>14</v>
      </c>
      <c r="F127" t="s">
        <v>25</v>
      </c>
      <c r="G127" t="s">
        <v>26</v>
      </c>
      <c r="H127" t="s">
        <v>335</v>
      </c>
      <c r="I127" t="s">
        <v>335</v>
      </c>
      <c r="J127" s="3">
        <v>541</v>
      </c>
      <c r="K127" s="3">
        <v>39083</v>
      </c>
      <c r="L127" t="s">
        <v>18</v>
      </c>
      <c r="M127" s="4">
        <f t="shared" si="3"/>
        <v>2.677412652760425E-4</v>
      </c>
    </row>
    <row r="128" spans="1:13" ht="18.75" customHeight="1" x14ac:dyDescent="0.35">
      <c r="A128" s="3">
        <v>95</v>
      </c>
      <c r="B128" s="3">
        <v>712</v>
      </c>
      <c r="C128" t="s">
        <v>336</v>
      </c>
      <c r="D128" t="s">
        <v>337</v>
      </c>
      <c r="E128" t="s">
        <v>14</v>
      </c>
      <c r="F128" t="s">
        <v>15</v>
      </c>
      <c r="G128" t="s">
        <v>338</v>
      </c>
      <c r="H128" t="s">
        <v>338</v>
      </c>
      <c r="I128" t="s">
        <v>339</v>
      </c>
      <c r="J128" s="3">
        <v>712</v>
      </c>
      <c r="K128" s="3">
        <v>55142</v>
      </c>
      <c r="L128" t="s">
        <v>18</v>
      </c>
      <c r="M128" s="4">
        <f t="shared" si="3"/>
        <v>3.777547488639955E-4</v>
      </c>
    </row>
    <row r="129" spans="1:13" ht="18.75" customHeight="1" x14ac:dyDescent="0.35">
      <c r="A129" s="3">
        <v>96</v>
      </c>
      <c r="B129" s="3">
        <v>713</v>
      </c>
      <c r="C129" t="s">
        <v>340</v>
      </c>
      <c r="D129" t="s">
        <v>341</v>
      </c>
      <c r="E129" t="s">
        <v>14</v>
      </c>
      <c r="F129" t="s">
        <v>15</v>
      </c>
      <c r="G129" t="s">
        <v>338</v>
      </c>
      <c r="H129" t="s">
        <v>338</v>
      </c>
      <c r="I129" t="s">
        <v>339</v>
      </c>
      <c r="J129" s="3">
        <v>713</v>
      </c>
      <c r="K129" s="3">
        <v>5146</v>
      </c>
      <c r="L129" t="s">
        <v>18</v>
      </c>
      <c r="M129" s="4">
        <f t="shared" si="3"/>
        <v>3.5253090886332033E-5</v>
      </c>
    </row>
    <row r="130" spans="1:13" ht="18.75" customHeight="1" x14ac:dyDescent="0.35">
      <c r="A130" s="3">
        <v>4</v>
      </c>
      <c r="B130" s="3">
        <v>505</v>
      </c>
      <c r="C130" t="s">
        <v>342</v>
      </c>
      <c r="D130" t="s">
        <v>343</v>
      </c>
      <c r="E130" t="s">
        <v>14</v>
      </c>
      <c r="F130" t="s">
        <v>25</v>
      </c>
      <c r="G130" t="s">
        <v>45</v>
      </c>
      <c r="H130" t="s">
        <v>344</v>
      </c>
      <c r="I130" t="s">
        <v>342</v>
      </c>
      <c r="J130" s="3">
        <v>505</v>
      </c>
      <c r="K130" s="3">
        <v>705906</v>
      </c>
      <c r="L130" t="s">
        <v>18</v>
      </c>
      <c r="M130" s="4">
        <f t="shared" ref="M130:M144" si="4">K130/SUM($K$1:$K$3000)</f>
        <v>4.8358663768377575E-3</v>
      </c>
    </row>
    <row r="131" spans="1:13" ht="18.75" customHeight="1" x14ac:dyDescent="0.35">
      <c r="A131" s="3">
        <v>35</v>
      </c>
      <c r="B131" s="3">
        <v>545</v>
      </c>
      <c r="C131" t="s">
        <v>345</v>
      </c>
      <c r="D131" t="s">
        <v>346</v>
      </c>
      <c r="E131" t="s">
        <v>14</v>
      </c>
      <c r="F131" t="s">
        <v>25</v>
      </c>
      <c r="G131" t="s">
        <v>52</v>
      </c>
      <c r="H131" t="s">
        <v>137</v>
      </c>
      <c r="I131" t="s">
        <v>137</v>
      </c>
      <c r="J131" s="3">
        <v>545</v>
      </c>
      <c r="K131" s="3">
        <v>1034336</v>
      </c>
      <c r="L131" t="s">
        <v>18</v>
      </c>
      <c r="M131" s="4">
        <f t="shared" si="4"/>
        <v>7.085802762340678E-3</v>
      </c>
    </row>
    <row r="132" spans="1:13" ht="18.75" customHeight="1" x14ac:dyDescent="0.35">
      <c r="A132" s="3">
        <v>36</v>
      </c>
      <c r="B132" s="3">
        <v>546</v>
      </c>
      <c r="C132" t="s">
        <v>347</v>
      </c>
      <c r="D132" t="s">
        <v>348</v>
      </c>
      <c r="E132" t="s">
        <v>14</v>
      </c>
      <c r="F132" t="s">
        <v>25</v>
      </c>
      <c r="G132" t="s">
        <v>52</v>
      </c>
      <c r="H132" t="s">
        <v>137</v>
      </c>
      <c r="I132" t="s">
        <v>137</v>
      </c>
      <c r="J132" s="3">
        <v>546</v>
      </c>
      <c r="K132" s="3">
        <v>171124</v>
      </c>
      <c r="L132" t="s">
        <v>18</v>
      </c>
      <c r="M132" s="4">
        <f t="shared" si="4"/>
        <v>1.172298858304058E-3</v>
      </c>
    </row>
    <row r="133" spans="1:13" ht="18.75" customHeight="1" x14ac:dyDescent="0.35">
      <c r="A133" s="3">
        <v>115</v>
      </c>
      <c r="B133" s="3">
        <v>806</v>
      </c>
      <c r="C133" t="s">
        <v>349</v>
      </c>
      <c r="D133" t="s">
        <v>350</v>
      </c>
      <c r="G133" t="s">
        <v>295</v>
      </c>
      <c r="H133" t="s">
        <v>137</v>
      </c>
      <c r="I133" t="s">
        <v>137</v>
      </c>
      <c r="J133" s="3">
        <v>806</v>
      </c>
      <c r="K133" s="3">
        <v>18496</v>
      </c>
      <c r="L133" t="s">
        <v>18</v>
      </c>
      <c r="M133" s="4">
        <f t="shared" si="4"/>
        <v>1.2670834998709625E-4</v>
      </c>
    </row>
    <row r="134" spans="1:13" ht="18.75" customHeight="1" x14ac:dyDescent="0.35">
      <c r="A134" s="3">
        <v>84</v>
      </c>
      <c r="B134" s="3">
        <v>701</v>
      </c>
      <c r="C134" t="s">
        <v>351</v>
      </c>
      <c r="D134" t="s">
        <v>352</v>
      </c>
      <c r="E134" t="s">
        <v>14</v>
      </c>
      <c r="F134" t="s">
        <v>15</v>
      </c>
      <c r="G134" t="s">
        <v>16</v>
      </c>
      <c r="H134" t="s">
        <v>353</v>
      </c>
      <c r="I134" t="s">
        <v>353</v>
      </c>
      <c r="J134" s="3">
        <v>701</v>
      </c>
      <c r="K134" s="3">
        <v>796735</v>
      </c>
      <c r="L134" t="s">
        <v>18</v>
      </c>
      <c r="M134" s="4">
        <f t="shared" si="4"/>
        <v>5.4580978172020502E-3</v>
      </c>
    </row>
    <row r="135" spans="1:13" ht="18.75" customHeight="1" x14ac:dyDescent="0.35">
      <c r="A135" s="3">
        <v>99</v>
      </c>
      <c r="B135" s="3">
        <v>717</v>
      </c>
      <c r="C135" t="s">
        <v>354</v>
      </c>
      <c r="D135" t="s">
        <v>355</v>
      </c>
      <c r="E135" t="s">
        <v>14</v>
      </c>
      <c r="F135" t="s">
        <v>15</v>
      </c>
      <c r="G135" t="s">
        <v>16</v>
      </c>
      <c r="H135" t="s">
        <v>353</v>
      </c>
      <c r="I135" t="s">
        <v>353</v>
      </c>
      <c r="J135" s="3">
        <v>717</v>
      </c>
      <c r="K135" s="3">
        <v>416672</v>
      </c>
      <c r="L135" t="s">
        <v>18</v>
      </c>
      <c r="M135" s="4">
        <f t="shared" si="4"/>
        <v>2.8544453722871631E-3</v>
      </c>
    </row>
    <row r="136" spans="1:13" ht="18.75" customHeight="1" x14ac:dyDescent="0.35">
      <c r="A136" s="3">
        <v>104</v>
      </c>
      <c r="B136" s="3">
        <v>722</v>
      </c>
      <c r="C136" t="s">
        <v>356</v>
      </c>
      <c r="D136" t="s">
        <v>357</v>
      </c>
      <c r="E136" t="s">
        <v>14</v>
      </c>
      <c r="F136" t="s">
        <v>15</v>
      </c>
      <c r="G136" t="s">
        <v>16</v>
      </c>
      <c r="H136" t="s">
        <v>353</v>
      </c>
      <c r="I136" t="s">
        <v>353</v>
      </c>
      <c r="J136" s="3">
        <v>722</v>
      </c>
      <c r="K136" s="3">
        <v>2708</v>
      </c>
      <c r="L136" t="s">
        <v>18</v>
      </c>
      <c r="M136" s="4">
        <f t="shared" si="4"/>
        <v>1.8551373905982733E-5</v>
      </c>
    </row>
    <row r="137" spans="1:13" ht="18.75" customHeight="1" x14ac:dyDescent="0.35">
      <c r="A137" s="3">
        <v>108</v>
      </c>
      <c r="B137" s="3">
        <v>735</v>
      </c>
      <c r="C137" t="s">
        <v>358</v>
      </c>
      <c r="D137" t="s">
        <v>359</v>
      </c>
      <c r="E137" t="s">
        <v>14</v>
      </c>
      <c r="F137" t="s">
        <v>15</v>
      </c>
      <c r="G137" t="s">
        <v>16</v>
      </c>
      <c r="H137" t="s">
        <v>353</v>
      </c>
      <c r="I137" t="s">
        <v>353</v>
      </c>
      <c r="J137" s="3">
        <v>735</v>
      </c>
      <c r="K137" s="3">
        <v>2675</v>
      </c>
      <c r="L137" t="s">
        <v>18</v>
      </c>
      <c r="M137" s="4">
        <f t="shared" si="4"/>
        <v>1.8325304726183091E-5</v>
      </c>
    </row>
    <row r="138" spans="1:13" ht="18.75" customHeight="1" x14ac:dyDescent="0.35">
      <c r="A138" s="3">
        <v>134</v>
      </c>
      <c r="B138" s="3">
        <v>906</v>
      </c>
      <c r="C138" t="s">
        <v>360</v>
      </c>
      <c r="D138" t="s">
        <v>361</v>
      </c>
      <c r="E138" t="s">
        <v>77</v>
      </c>
      <c r="H138" t="s">
        <v>233</v>
      </c>
      <c r="I138" t="s">
        <v>210</v>
      </c>
      <c r="J138" s="3">
        <v>906</v>
      </c>
      <c r="K138" s="3">
        <v>784</v>
      </c>
      <c r="L138" t="s">
        <v>18</v>
      </c>
      <c r="M138" s="4">
        <f t="shared" si="4"/>
        <v>5.3708556655430067E-6</v>
      </c>
    </row>
    <row r="139" spans="1:13" ht="18.75" customHeight="1" x14ac:dyDescent="0.35">
      <c r="A139" s="3">
        <v>132</v>
      </c>
      <c r="B139" s="3">
        <v>904</v>
      </c>
      <c r="C139" t="s">
        <v>362</v>
      </c>
      <c r="D139" t="s">
        <v>363</v>
      </c>
      <c r="E139" t="s">
        <v>209</v>
      </c>
      <c r="H139" t="s">
        <v>364</v>
      </c>
      <c r="I139" t="s">
        <v>210</v>
      </c>
      <c r="J139" s="3">
        <v>904</v>
      </c>
      <c r="K139" s="3">
        <v>17130</v>
      </c>
      <c r="L139" t="s">
        <v>18</v>
      </c>
      <c r="M139" s="4">
        <f t="shared" si="4"/>
        <v>1.1735045605963229E-4</v>
      </c>
    </row>
    <row r="140" spans="1:13" ht="18.75" customHeight="1" x14ac:dyDescent="0.35">
      <c r="A140" s="3">
        <v>6</v>
      </c>
      <c r="B140" s="3">
        <v>507</v>
      </c>
      <c r="C140" t="s">
        <v>365</v>
      </c>
      <c r="D140" t="s">
        <v>366</v>
      </c>
      <c r="E140" t="s">
        <v>14</v>
      </c>
      <c r="F140" t="s">
        <v>25</v>
      </c>
      <c r="G140" t="s">
        <v>45</v>
      </c>
      <c r="H140" t="s">
        <v>344</v>
      </c>
      <c r="I140" t="s">
        <v>367</v>
      </c>
      <c r="J140" s="3">
        <v>507</v>
      </c>
      <c r="K140" s="3">
        <v>923493</v>
      </c>
      <c r="L140" t="s">
        <v>18</v>
      </c>
      <c r="M140" s="4">
        <f t="shared" si="4"/>
        <v>6.3264637897185051E-3</v>
      </c>
    </row>
    <row r="141" spans="1:13" ht="18.75" customHeight="1" x14ac:dyDescent="0.35">
      <c r="A141" s="3">
        <v>2</v>
      </c>
      <c r="B141" s="3">
        <v>502</v>
      </c>
      <c r="C141" t="s">
        <v>368</v>
      </c>
      <c r="D141" t="s">
        <v>369</v>
      </c>
      <c r="E141" t="s">
        <v>14</v>
      </c>
      <c r="F141" t="s">
        <v>25</v>
      </c>
      <c r="G141" t="s">
        <v>45</v>
      </c>
      <c r="H141" t="s">
        <v>370</v>
      </c>
      <c r="I141" t="s">
        <v>371</v>
      </c>
      <c r="J141" s="3">
        <v>502</v>
      </c>
      <c r="K141" s="3">
        <v>2640192</v>
      </c>
      <c r="L141" t="s">
        <v>18</v>
      </c>
      <c r="M141" s="4">
        <f t="shared" si="4"/>
        <v>1.8086849695562911E-2</v>
      </c>
    </row>
    <row r="142" spans="1:13" ht="18.75" customHeight="1" x14ac:dyDescent="0.35">
      <c r="A142" s="3">
        <v>22</v>
      </c>
      <c r="B142" s="3">
        <v>527</v>
      </c>
      <c r="C142" t="s">
        <v>372</v>
      </c>
      <c r="D142" t="s">
        <v>373</v>
      </c>
      <c r="E142" t="s">
        <v>14</v>
      </c>
      <c r="F142" t="s">
        <v>25</v>
      </c>
      <c r="G142" t="s">
        <v>26</v>
      </c>
      <c r="H142" t="s">
        <v>374</v>
      </c>
      <c r="I142" t="s">
        <v>375</v>
      </c>
      <c r="J142" s="3">
        <v>527</v>
      </c>
      <c r="K142" s="3">
        <v>2453089</v>
      </c>
      <c r="L142" t="s">
        <v>18</v>
      </c>
      <c r="M142" s="4">
        <f t="shared" si="4"/>
        <v>1.6805085400167383E-2</v>
      </c>
    </row>
    <row r="143" spans="1:13" ht="18.75" customHeight="1" x14ac:dyDescent="0.35">
      <c r="A143" s="3">
        <v>58</v>
      </c>
      <c r="B143" s="3">
        <v>591</v>
      </c>
      <c r="C143" t="s">
        <v>376</v>
      </c>
      <c r="D143" t="s">
        <v>377</v>
      </c>
      <c r="E143" t="s">
        <v>14</v>
      </c>
      <c r="F143" t="s">
        <v>25</v>
      </c>
      <c r="G143" t="s">
        <v>26</v>
      </c>
      <c r="H143" t="s">
        <v>374</v>
      </c>
      <c r="I143" t="s">
        <v>375</v>
      </c>
      <c r="J143" s="3">
        <v>591</v>
      </c>
      <c r="K143" s="3">
        <v>15218</v>
      </c>
      <c r="L143" t="s">
        <v>18</v>
      </c>
      <c r="M143" s="4">
        <f t="shared" si="4"/>
        <v>1.0425214479366515E-4</v>
      </c>
    </row>
    <row r="144" spans="1:13" ht="18.75" customHeight="1" x14ac:dyDescent="0.35">
      <c r="A144" s="3">
        <v>11</v>
      </c>
      <c r="B144" s="3">
        <v>513</v>
      </c>
      <c r="C144" t="s">
        <v>378</v>
      </c>
      <c r="D144" t="s">
        <v>379</v>
      </c>
      <c r="E144" t="s">
        <v>14</v>
      </c>
      <c r="F144" t="s">
        <v>25</v>
      </c>
      <c r="G144" t="s">
        <v>45</v>
      </c>
      <c r="H144" t="s">
        <v>380</v>
      </c>
      <c r="I144" t="s">
        <v>381</v>
      </c>
      <c r="J144" s="3">
        <v>513</v>
      </c>
      <c r="K144" s="3">
        <v>6931192</v>
      </c>
      <c r="L144" t="s">
        <v>18</v>
      </c>
      <c r="M144" s="4">
        <f t="shared" si="4"/>
        <v>4.7482693650722406E-2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144"/>
  <sheetViews>
    <sheetView tabSelected="1" topLeftCell="A125" workbookViewId="0">
      <selection activeCell="J145" sqref="J145"/>
    </sheetView>
  </sheetViews>
  <sheetFormatPr baseColWidth="10" defaultColWidth="8.7265625" defaultRowHeight="14.5" x14ac:dyDescent="0.35"/>
  <cols>
    <col min="3" max="3" width="16.90625" customWidth="1"/>
    <col min="4" max="4" width="29.26953125" customWidth="1"/>
  </cols>
  <sheetData>
    <row r="1" spans="1:13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386</v>
      </c>
      <c r="K1" s="1"/>
      <c r="M1" s="2"/>
    </row>
    <row r="2" spans="1:13" x14ac:dyDescent="0.35">
      <c r="A2" s="3">
        <v>85</v>
      </c>
      <c r="B2" s="3">
        <v>702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s="3" t="s">
        <v>234</v>
      </c>
      <c r="K2" s="3"/>
      <c r="M2" s="4"/>
    </row>
    <row r="3" spans="1:13" x14ac:dyDescent="0.35">
      <c r="A3" s="3">
        <v>93</v>
      </c>
      <c r="B3" s="3">
        <v>710</v>
      </c>
      <c r="C3" t="s">
        <v>19</v>
      </c>
      <c r="D3" t="s">
        <v>20</v>
      </c>
      <c r="E3" t="s">
        <v>14</v>
      </c>
      <c r="F3" t="s">
        <v>21</v>
      </c>
      <c r="I3" t="s">
        <v>22</v>
      </c>
      <c r="J3" s="3" t="s">
        <v>234</v>
      </c>
      <c r="K3" s="3"/>
      <c r="M3" s="4"/>
    </row>
    <row r="4" spans="1:13" x14ac:dyDescent="0.35">
      <c r="A4" s="3">
        <v>18</v>
      </c>
      <c r="B4" s="3">
        <v>523</v>
      </c>
      <c r="C4" t="s">
        <v>23</v>
      </c>
      <c r="D4" t="s">
        <v>24</v>
      </c>
      <c r="E4" t="s">
        <v>14</v>
      </c>
      <c r="F4" t="s">
        <v>25</v>
      </c>
      <c r="G4" t="s">
        <v>26</v>
      </c>
      <c r="H4" t="s">
        <v>27</v>
      </c>
      <c r="I4" t="s">
        <v>27</v>
      </c>
      <c r="J4" s="3" t="s">
        <v>387</v>
      </c>
      <c r="K4" s="3"/>
      <c r="M4" s="4"/>
    </row>
    <row r="5" spans="1:13" x14ac:dyDescent="0.35">
      <c r="A5" s="3">
        <v>88</v>
      </c>
      <c r="B5" s="3">
        <v>705</v>
      </c>
      <c r="C5" t="s">
        <v>28</v>
      </c>
      <c r="D5" t="s">
        <v>29</v>
      </c>
      <c r="E5" t="s">
        <v>14</v>
      </c>
      <c r="F5" t="s">
        <v>21</v>
      </c>
      <c r="G5" t="s">
        <v>30</v>
      </c>
      <c r="H5" t="s">
        <v>30</v>
      </c>
      <c r="I5" t="s">
        <v>30</v>
      </c>
      <c r="J5" s="3" t="s">
        <v>234</v>
      </c>
      <c r="K5" s="3"/>
      <c r="M5" s="4"/>
    </row>
    <row r="6" spans="1:13" x14ac:dyDescent="0.35">
      <c r="A6" s="3">
        <v>40</v>
      </c>
      <c r="B6" s="3">
        <v>551</v>
      </c>
      <c r="C6" t="s">
        <v>31</v>
      </c>
      <c r="D6" t="s">
        <v>32</v>
      </c>
      <c r="E6" t="s">
        <v>14</v>
      </c>
      <c r="F6" t="s">
        <v>21</v>
      </c>
      <c r="G6" t="s">
        <v>30</v>
      </c>
      <c r="H6" t="s">
        <v>30</v>
      </c>
      <c r="I6" t="s">
        <v>30</v>
      </c>
      <c r="J6" s="3" t="s">
        <v>234</v>
      </c>
      <c r="K6" s="3"/>
      <c r="M6" s="4"/>
    </row>
    <row r="7" spans="1:13" x14ac:dyDescent="0.35">
      <c r="A7" s="3">
        <v>81</v>
      </c>
      <c r="B7" s="3">
        <v>694</v>
      </c>
      <c r="C7" t="s">
        <v>33</v>
      </c>
      <c r="I7" t="s">
        <v>34</v>
      </c>
      <c r="J7" s="3" t="s">
        <v>234</v>
      </c>
      <c r="K7" s="3"/>
      <c r="M7" s="4"/>
    </row>
    <row r="8" spans="1:13" x14ac:dyDescent="0.35">
      <c r="A8" s="3">
        <v>44</v>
      </c>
      <c r="B8" s="3">
        <v>555</v>
      </c>
      <c r="C8" t="s">
        <v>35</v>
      </c>
      <c r="D8" t="s">
        <v>36</v>
      </c>
      <c r="E8" t="s">
        <v>14</v>
      </c>
      <c r="F8" t="s">
        <v>37</v>
      </c>
      <c r="G8" t="s">
        <v>38</v>
      </c>
      <c r="H8" t="s">
        <v>39</v>
      </c>
      <c r="I8" t="s">
        <v>34</v>
      </c>
      <c r="J8" s="3" t="s">
        <v>234</v>
      </c>
      <c r="K8" s="3"/>
      <c r="M8" s="4"/>
    </row>
    <row r="9" spans="1:13" x14ac:dyDescent="0.35">
      <c r="A9" s="3">
        <v>136</v>
      </c>
      <c r="B9" s="3">
        <v>908</v>
      </c>
      <c r="C9" t="s">
        <v>40</v>
      </c>
      <c r="D9" t="s">
        <v>41</v>
      </c>
      <c r="E9" t="s">
        <v>14</v>
      </c>
      <c r="F9" t="s">
        <v>37</v>
      </c>
      <c r="G9" t="s">
        <v>38</v>
      </c>
      <c r="H9" t="s">
        <v>39</v>
      </c>
      <c r="I9" t="s">
        <v>34</v>
      </c>
      <c r="J9" s="3" t="s">
        <v>234</v>
      </c>
      <c r="K9" s="3"/>
      <c r="M9" s="4"/>
    </row>
    <row r="10" spans="1:13" x14ac:dyDescent="0.35">
      <c r="A10" s="3">
        <v>80</v>
      </c>
      <c r="B10" s="3">
        <v>693</v>
      </c>
      <c r="C10" t="s">
        <v>42</v>
      </c>
      <c r="I10" t="s">
        <v>34</v>
      </c>
      <c r="J10" s="3" t="s">
        <v>234</v>
      </c>
      <c r="K10" s="3"/>
      <c r="M10" s="4"/>
    </row>
    <row r="11" spans="1:13" x14ac:dyDescent="0.35">
      <c r="A11" s="3">
        <v>38</v>
      </c>
      <c r="B11" s="3">
        <v>548</v>
      </c>
      <c r="C11" t="s">
        <v>43</v>
      </c>
      <c r="D11" t="s">
        <v>44</v>
      </c>
      <c r="E11" t="s">
        <v>14</v>
      </c>
      <c r="F11" t="s">
        <v>25</v>
      </c>
      <c r="G11" t="s">
        <v>45</v>
      </c>
      <c r="H11" t="s">
        <v>46</v>
      </c>
      <c r="I11" t="s">
        <v>46</v>
      </c>
      <c r="J11" s="3" t="s">
        <v>387</v>
      </c>
      <c r="K11" s="3"/>
      <c r="M11" s="4"/>
    </row>
    <row r="12" spans="1:13" x14ac:dyDescent="0.35">
      <c r="A12" s="3">
        <v>102</v>
      </c>
      <c r="B12" s="3">
        <v>720</v>
      </c>
      <c r="C12" t="s">
        <v>47</v>
      </c>
      <c r="D12" t="s">
        <v>48</v>
      </c>
      <c r="E12" t="s">
        <v>14</v>
      </c>
      <c r="F12" t="s">
        <v>15</v>
      </c>
      <c r="G12" t="s">
        <v>16</v>
      </c>
      <c r="H12" t="s">
        <v>49</v>
      </c>
      <c r="I12" t="s">
        <v>49</v>
      </c>
      <c r="J12" s="3" t="s">
        <v>234</v>
      </c>
      <c r="K12" s="3"/>
      <c r="M12" s="4"/>
    </row>
    <row r="13" spans="1:13" x14ac:dyDescent="0.35">
      <c r="A13" s="3">
        <v>37</v>
      </c>
      <c r="B13" s="3">
        <v>547</v>
      </c>
      <c r="C13" t="s">
        <v>50</v>
      </c>
      <c r="D13" t="s">
        <v>51</v>
      </c>
      <c r="E13" t="s">
        <v>14</v>
      </c>
      <c r="F13" t="s">
        <v>25</v>
      </c>
      <c r="G13" t="s">
        <v>52</v>
      </c>
      <c r="H13" t="s">
        <v>53</v>
      </c>
      <c r="I13" t="s">
        <v>53</v>
      </c>
      <c r="J13" s="3" t="s">
        <v>387</v>
      </c>
      <c r="K13" s="3"/>
      <c r="M13" s="4"/>
    </row>
    <row r="14" spans="1:13" x14ac:dyDescent="0.35">
      <c r="A14" s="3">
        <v>51</v>
      </c>
      <c r="B14" s="3">
        <v>569</v>
      </c>
      <c r="C14" t="s">
        <v>54</v>
      </c>
      <c r="D14" t="s">
        <v>55</v>
      </c>
      <c r="E14" t="s">
        <v>14</v>
      </c>
      <c r="F14" t="s">
        <v>25</v>
      </c>
      <c r="G14" t="s">
        <v>56</v>
      </c>
      <c r="H14" t="s">
        <v>57</v>
      </c>
      <c r="I14" t="s">
        <v>58</v>
      </c>
      <c r="J14" s="3" t="s">
        <v>387</v>
      </c>
      <c r="K14" s="3"/>
      <c r="M14" s="4"/>
    </row>
    <row r="15" spans="1:13" x14ac:dyDescent="0.35">
      <c r="A15" s="3">
        <v>89</v>
      </c>
      <c r="B15" s="3">
        <v>706</v>
      </c>
      <c r="C15" t="s">
        <v>59</v>
      </c>
      <c r="D15" t="s">
        <v>60</v>
      </c>
      <c r="E15" t="s">
        <v>14</v>
      </c>
      <c r="F15" t="s">
        <v>21</v>
      </c>
      <c r="I15" t="s">
        <v>61</v>
      </c>
      <c r="J15" s="3" t="s">
        <v>234</v>
      </c>
      <c r="K15" s="3"/>
      <c r="M15" s="4"/>
    </row>
    <row r="16" spans="1:13" x14ac:dyDescent="0.35">
      <c r="A16" s="3">
        <v>42</v>
      </c>
      <c r="B16" s="3">
        <v>553</v>
      </c>
      <c r="C16" t="s">
        <v>62</v>
      </c>
      <c r="D16" t="s">
        <v>63</v>
      </c>
      <c r="E16" t="s">
        <v>14</v>
      </c>
      <c r="F16" t="s">
        <v>21</v>
      </c>
      <c r="I16" t="s">
        <v>61</v>
      </c>
      <c r="J16" s="3" t="s">
        <v>234</v>
      </c>
      <c r="K16" s="3"/>
      <c r="M16" s="4"/>
    </row>
    <row r="17" spans="1:13" x14ac:dyDescent="0.35">
      <c r="A17" s="3">
        <v>92</v>
      </c>
      <c r="B17" s="3">
        <v>709</v>
      </c>
      <c r="C17" t="s">
        <v>64</v>
      </c>
      <c r="D17" t="s">
        <v>65</v>
      </c>
      <c r="E17" t="s">
        <v>14</v>
      </c>
      <c r="F17" t="s">
        <v>21</v>
      </c>
      <c r="I17" t="s">
        <v>61</v>
      </c>
      <c r="J17" s="3" t="s">
        <v>234</v>
      </c>
      <c r="K17" s="3"/>
      <c r="M17" s="4"/>
    </row>
    <row r="18" spans="1:13" x14ac:dyDescent="0.35">
      <c r="A18" s="3">
        <v>90</v>
      </c>
      <c r="B18" s="3">
        <v>707</v>
      </c>
      <c r="C18" t="s">
        <v>66</v>
      </c>
      <c r="D18" t="s">
        <v>67</v>
      </c>
      <c r="E18" t="s">
        <v>14</v>
      </c>
      <c r="F18" t="s">
        <v>21</v>
      </c>
      <c r="I18" t="s">
        <v>61</v>
      </c>
      <c r="J18" s="3" t="s">
        <v>234</v>
      </c>
      <c r="K18" s="3"/>
      <c r="M18" s="4"/>
    </row>
    <row r="19" spans="1:13" x14ac:dyDescent="0.35">
      <c r="A19" s="3">
        <v>54</v>
      </c>
      <c r="B19" s="3">
        <v>574</v>
      </c>
      <c r="C19" t="s">
        <v>68</v>
      </c>
      <c r="D19" t="s">
        <v>68</v>
      </c>
      <c r="E19" t="s">
        <v>14</v>
      </c>
      <c r="F19" t="s">
        <v>25</v>
      </c>
      <c r="I19" t="s">
        <v>61</v>
      </c>
      <c r="J19" s="3" t="s">
        <v>387</v>
      </c>
      <c r="K19" s="3"/>
      <c r="M19" s="4"/>
    </row>
    <row r="20" spans="1:13" x14ac:dyDescent="0.35">
      <c r="A20" s="3">
        <v>100</v>
      </c>
      <c r="B20" s="3">
        <v>718</v>
      </c>
      <c r="C20" t="s">
        <v>69</v>
      </c>
      <c r="D20" t="s">
        <v>70</v>
      </c>
      <c r="E20" t="s">
        <v>14</v>
      </c>
      <c r="F20" t="s">
        <v>21</v>
      </c>
      <c r="I20" t="s">
        <v>61</v>
      </c>
      <c r="J20" s="3" t="s">
        <v>234</v>
      </c>
      <c r="K20" s="3"/>
      <c r="M20" s="4"/>
    </row>
    <row r="21" spans="1:13" x14ac:dyDescent="0.35">
      <c r="A21" s="3">
        <v>48</v>
      </c>
      <c r="B21" s="3">
        <v>566</v>
      </c>
      <c r="C21" t="s">
        <v>71</v>
      </c>
      <c r="D21" t="s">
        <v>72</v>
      </c>
      <c r="E21" t="s">
        <v>14</v>
      </c>
      <c r="F21" t="s">
        <v>21</v>
      </c>
      <c r="I21" t="s">
        <v>61</v>
      </c>
      <c r="J21" s="3" t="s">
        <v>387</v>
      </c>
      <c r="K21" s="3"/>
      <c r="M21" s="4"/>
    </row>
    <row r="22" spans="1:13" x14ac:dyDescent="0.35">
      <c r="A22" s="3">
        <v>49</v>
      </c>
      <c r="B22" s="3">
        <v>567</v>
      </c>
      <c r="C22" t="s">
        <v>73</v>
      </c>
      <c r="D22" t="s">
        <v>74</v>
      </c>
      <c r="E22" t="s">
        <v>14</v>
      </c>
      <c r="F22" t="s">
        <v>21</v>
      </c>
      <c r="I22" t="s">
        <v>61</v>
      </c>
      <c r="J22" s="3" t="s">
        <v>234</v>
      </c>
      <c r="K22" s="3"/>
      <c r="M22" s="4"/>
    </row>
    <row r="23" spans="1:13" x14ac:dyDescent="0.35">
      <c r="A23" s="3">
        <v>138</v>
      </c>
      <c r="B23" s="3">
        <v>911</v>
      </c>
      <c r="C23" t="s">
        <v>75</v>
      </c>
      <c r="D23" t="s">
        <v>76</v>
      </c>
      <c r="E23" t="s">
        <v>77</v>
      </c>
      <c r="I23" t="s">
        <v>61</v>
      </c>
      <c r="J23" s="3" t="s">
        <v>234</v>
      </c>
      <c r="K23" s="3"/>
      <c r="M23" s="4"/>
    </row>
    <row r="24" spans="1:13" x14ac:dyDescent="0.35">
      <c r="A24" s="3">
        <v>101</v>
      </c>
      <c r="B24" s="3">
        <v>719</v>
      </c>
      <c r="C24" t="s">
        <v>78</v>
      </c>
      <c r="D24" t="s">
        <v>79</v>
      </c>
      <c r="E24" t="s">
        <v>14</v>
      </c>
      <c r="F24" t="s">
        <v>21</v>
      </c>
      <c r="I24" t="s">
        <v>61</v>
      </c>
      <c r="J24" s="3" t="s">
        <v>234</v>
      </c>
      <c r="K24" s="3"/>
      <c r="M24" s="4"/>
    </row>
    <row r="25" spans="1:13" x14ac:dyDescent="0.35">
      <c r="A25" s="3">
        <v>41</v>
      </c>
      <c r="B25" s="3">
        <v>552</v>
      </c>
      <c r="C25" t="s">
        <v>80</v>
      </c>
      <c r="D25" t="s">
        <v>81</v>
      </c>
      <c r="E25" t="s">
        <v>14</v>
      </c>
      <c r="F25" t="s">
        <v>21</v>
      </c>
      <c r="I25" t="s">
        <v>61</v>
      </c>
      <c r="J25" s="3" t="s">
        <v>387</v>
      </c>
      <c r="K25" s="3"/>
      <c r="M25" s="4"/>
    </row>
    <row r="26" spans="1:13" x14ac:dyDescent="0.35">
      <c r="A26" s="3">
        <v>94</v>
      </c>
      <c r="B26" s="3">
        <v>711</v>
      </c>
      <c r="C26" t="s">
        <v>82</v>
      </c>
      <c r="D26" t="s">
        <v>83</v>
      </c>
      <c r="I26" t="s">
        <v>61</v>
      </c>
      <c r="J26" s="3" t="s">
        <v>234</v>
      </c>
      <c r="K26" s="3"/>
      <c r="M26" s="4"/>
    </row>
    <row r="27" spans="1:13" x14ac:dyDescent="0.35">
      <c r="A27" s="3">
        <v>9</v>
      </c>
      <c r="B27" s="3">
        <v>511</v>
      </c>
      <c r="C27" t="s">
        <v>84</v>
      </c>
      <c r="D27" t="s">
        <v>85</v>
      </c>
      <c r="E27" t="s">
        <v>14</v>
      </c>
      <c r="F27" t="s">
        <v>25</v>
      </c>
      <c r="G27" t="s">
        <v>45</v>
      </c>
      <c r="H27" t="s">
        <v>86</v>
      </c>
      <c r="I27" t="s">
        <v>87</v>
      </c>
      <c r="J27" s="3" t="s">
        <v>387</v>
      </c>
      <c r="K27" s="3"/>
      <c r="M27" s="4"/>
    </row>
    <row r="28" spans="1:13" x14ac:dyDescent="0.35">
      <c r="A28" s="3">
        <v>46</v>
      </c>
      <c r="B28" s="3">
        <v>557</v>
      </c>
      <c r="C28" t="s">
        <v>88</v>
      </c>
      <c r="D28" t="s">
        <v>89</v>
      </c>
      <c r="E28" t="s">
        <v>14</v>
      </c>
      <c r="F28" t="s">
        <v>21</v>
      </c>
      <c r="G28" t="s">
        <v>90</v>
      </c>
      <c r="H28" t="s">
        <v>90</v>
      </c>
      <c r="I28" t="s">
        <v>90</v>
      </c>
      <c r="J28" s="3" t="s">
        <v>387</v>
      </c>
      <c r="K28" s="3"/>
      <c r="M28" s="4"/>
    </row>
    <row r="29" spans="1:13" x14ac:dyDescent="0.35">
      <c r="A29" s="3">
        <v>62</v>
      </c>
      <c r="B29" s="3">
        <v>597</v>
      </c>
      <c r="C29" t="s">
        <v>91</v>
      </c>
      <c r="D29" t="s">
        <v>92</v>
      </c>
      <c r="E29" t="s">
        <v>93</v>
      </c>
      <c r="I29" t="s">
        <v>90</v>
      </c>
      <c r="J29" s="3" t="s">
        <v>387</v>
      </c>
      <c r="K29" s="3"/>
      <c r="M29" s="4"/>
    </row>
    <row r="30" spans="1:13" x14ac:dyDescent="0.35">
      <c r="A30" s="3">
        <v>63</v>
      </c>
      <c r="B30" s="3">
        <v>598</v>
      </c>
      <c r="C30" t="s">
        <v>94</v>
      </c>
      <c r="D30" t="s">
        <v>95</v>
      </c>
      <c r="E30" t="s">
        <v>93</v>
      </c>
      <c r="I30" t="s">
        <v>90</v>
      </c>
      <c r="J30" s="3" t="s">
        <v>234</v>
      </c>
      <c r="K30" s="3"/>
      <c r="M30" s="4"/>
    </row>
    <row r="31" spans="1:13" x14ac:dyDescent="0.35">
      <c r="A31" s="3">
        <v>60</v>
      </c>
      <c r="B31" s="3">
        <v>594</v>
      </c>
      <c r="C31" t="s">
        <v>96</v>
      </c>
      <c r="D31" t="s">
        <v>97</v>
      </c>
      <c r="E31" t="s">
        <v>93</v>
      </c>
      <c r="I31" t="s">
        <v>90</v>
      </c>
      <c r="J31" s="3" t="s">
        <v>387</v>
      </c>
      <c r="K31" s="3"/>
      <c r="M31" s="4"/>
    </row>
    <row r="32" spans="1:13" x14ac:dyDescent="0.35">
      <c r="A32" s="3">
        <v>61</v>
      </c>
      <c r="B32" s="3">
        <v>595</v>
      </c>
      <c r="C32" t="s">
        <v>98</v>
      </c>
      <c r="D32" t="s">
        <v>95</v>
      </c>
      <c r="E32" t="s">
        <v>93</v>
      </c>
      <c r="I32" t="s">
        <v>90</v>
      </c>
      <c r="J32" s="3" t="s">
        <v>234</v>
      </c>
      <c r="K32" s="3"/>
      <c r="M32" s="4"/>
    </row>
    <row r="33" spans="1:13" x14ac:dyDescent="0.35">
      <c r="A33" s="3">
        <v>45</v>
      </c>
      <c r="B33" s="3">
        <v>556</v>
      </c>
      <c r="C33" t="s">
        <v>99</v>
      </c>
      <c r="D33" t="s">
        <v>100</v>
      </c>
      <c r="E33" t="s">
        <v>14</v>
      </c>
      <c r="F33" t="s">
        <v>21</v>
      </c>
      <c r="G33" t="s">
        <v>90</v>
      </c>
      <c r="H33" t="s">
        <v>90</v>
      </c>
      <c r="I33" t="s">
        <v>101</v>
      </c>
      <c r="J33" s="3" t="s">
        <v>387</v>
      </c>
      <c r="K33" s="3"/>
      <c r="M33" s="4"/>
    </row>
    <row r="34" spans="1:13" x14ac:dyDescent="0.35">
      <c r="A34" s="3">
        <v>27</v>
      </c>
      <c r="B34" s="3">
        <v>536</v>
      </c>
      <c r="C34" t="s">
        <v>102</v>
      </c>
      <c r="D34" t="s">
        <v>103</v>
      </c>
      <c r="E34" t="s">
        <v>14</v>
      </c>
      <c r="F34" t="s">
        <v>25</v>
      </c>
      <c r="G34" t="s">
        <v>26</v>
      </c>
      <c r="H34" t="s">
        <v>104</v>
      </c>
      <c r="I34" t="s">
        <v>104</v>
      </c>
      <c r="J34" s="3" t="s">
        <v>387</v>
      </c>
      <c r="K34" s="3"/>
      <c r="M34" s="4"/>
    </row>
    <row r="35" spans="1:13" x14ac:dyDescent="0.35">
      <c r="A35" s="3">
        <v>47</v>
      </c>
      <c r="B35" s="3">
        <v>559</v>
      </c>
      <c r="C35" t="s">
        <v>105</v>
      </c>
      <c r="D35" t="s">
        <v>106</v>
      </c>
      <c r="E35" t="s">
        <v>14</v>
      </c>
      <c r="F35" t="s">
        <v>37</v>
      </c>
      <c r="G35" t="s">
        <v>107</v>
      </c>
      <c r="I35" t="s">
        <v>108</v>
      </c>
      <c r="J35" s="3" t="s">
        <v>37</v>
      </c>
      <c r="K35" s="3"/>
      <c r="M35" s="4"/>
    </row>
    <row r="36" spans="1:13" x14ac:dyDescent="0.35">
      <c r="A36" s="3">
        <v>52</v>
      </c>
      <c r="B36" s="3">
        <v>572</v>
      </c>
      <c r="C36" t="s">
        <v>109</v>
      </c>
      <c r="D36" t="s">
        <v>110</v>
      </c>
      <c r="E36" t="s">
        <v>14</v>
      </c>
      <c r="F36" t="s">
        <v>37</v>
      </c>
      <c r="G36" t="s">
        <v>38</v>
      </c>
      <c r="H36" t="s">
        <v>39</v>
      </c>
      <c r="I36" t="s">
        <v>111</v>
      </c>
      <c r="J36" s="3" t="s">
        <v>234</v>
      </c>
      <c r="K36" s="3"/>
      <c r="M36" s="4"/>
    </row>
    <row r="37" spans="1:13" x14ac:dyDescent="0.35">
      <c r="A37" s="3">
        <v>129</v>
      </c>
      <c r="B37" s="3">
        <v>901</v>
      </c>
      <c r="C37" t="s">
        <v>112</v>
      </c>
      <c r="D37" t="s">
        <v>113</v>
      </c>
      <c r="E37" t="s">
        <v>14</v>
      </c>
      <c r="F37" t="s">
        <v>113</v>
      </c>
      <c r="G37" t="s">
        <v>113</v>
      </c>
      <c r="H37" t="s">
        <v>113</v>
      </c>
      <c r="I37" t="s">
        <v>113</v>
      </c>
      <c r="J37" s="3" t="s">
        <v>234</v>
      </c>
      <c r="K37" s="3"/>
      <c r="M37" s="4"/>
    </row>
    <row r="38" spans="1:13" x14ac:dyDescent="0.35">
      <c r="A38" s="3">
        <v>75</v>
      </c>
      <c r="B38" s="3">
        <v>625</v>
      </c>
      <c r="C38" t="s">
        <v>114</v>
      </c>
      <c r="D38" t="s">
        <v>115</v>
      </c>
      <c r="E38" t="s">
        <v>14</v>
      </c>
      <c r="F38" t="s">
        <v>37</v>
      </c>
      <c r="G38" t="s">
        <v>116</v>
      </c>
      <c r="H38" t="s">
        <v>116</v>
      </c>
      <c r="I38" t="s">
        <v>117</v>
      </c>
      <c r="J38" s="3" t="s">
        <v>234</v>
      </c>
      <c r="K38" s="3"/>
      <c r="M38" s="4"/>
    </row>
    <row r="39" spans="1:13" x14ac:dyDescent="0.35">
      <c r="A39" s="3">
        <v>43</v>
      </c>
      <c r="B39" s="3">
        <v>554</v>
      </c>
      <c r="C39" t="s">
        <v>118</v>
      </c>
      <c r="D39" t="s">
        <v>119</v>
      </c>
      <c r="E39" t="s">
        <v>14</v>
      </c>
      <c r="F39" t="s">
        <v>21</v>
      </c>
      <c r="I39" t="s">
        <v>120</v>
      </c>
      <c r="J39" s="3" t="s">
        <v>234</v>
      </c>
      <c r="K39" s="3"/>
      <c r="M39" s="4"/>
    </row>
    <row r="40" spans="1:13" x14ac:dyDescent="0.35">
      <c r="A40" s="3">
        <v>137</v>
      </c>
      <c r="B40" s="3">
        <v>909</v>
      </c>
      <c r="C40" t="s">
        <v>121</v>
      </c>
      <c r="D40" t="s">
        <v>122</v>
      </c>
      <c r="E40" t="s">
        <v>14</v>
      </c>
      <c r="F40" t="s">
        <v>21</v>
      </c>
      <c r="G40" t="s">
        <v>120</v>
      </c>
      <c r="H40" t="s">
        <v>120</v>
      </c>
      <c r="I40" t="s">
        <v>120</v>
      </c>
      <c r="J40" s="3" t="s">
        <v>234</v>
      </c>
      <c r="K40" s="3"/>
      <c r="M40" s="4"/>
    </row>
    <row r="41" spans="1:13" x14ac:dyDescent="0.35">
      <c r="A41" s="3">
        <v>103</v>
      </c>
      <c r="B41" s="3">
        <v>721</v>
      </c>
      <c r="C41" t="s">
        <v>123</v>
      </c>
      <c r="D41" t="s">
        <v>124</v>
      </c>
      <c r="E41" t="s">
        <v>14</v>
      </c>
      <c r="F41" t="s">
        <v>21</v>
      </c>
      <c r="I41" t="s">
        <v>120</v>
      </c>
      <c r="J41" s="3" t="s">
        <v>234</v>
      </c>
      <c r="K41" s="3"/>
      <c r="M41" s="4"/>
    </row>
    <row r="42" spans="1:13" x14ac:dyDescent="0.35">
      <c r="A42" s="3">
        <v>33</v>
      </c>
      <c r="B42" s="3">
        <v>543</v>
      </c>
      <c r="C42" t="s">
        <v>125</v>
      </c>
      <c r="D42" t="s">
        <v>126</v>
      </c>
      <c r="E42" t="s">
        <v>14</v>
      </c>
      <c r="F42" t="s">
        <v>25</v>
      </c>
      <c r="G42" t="s">
        <v>45</v>
      </c>
      <c r="H42" t="s">
        <v>127</v>
      </c>
      <c r="I42" t="s">
        <v>127</v>
      </c>
      <c r="J42" s="3" t="s">
        <v>387</v>
      </c>
      <c r="K42" s="3"/>
      <c r="M42" s="4"/>
    </row>
    <row r="43" spans="1:13" x14ac:dyDescent="0.35">
      <c r="A43" s="3">
        <v>5</v>
      </c>
      <c r="B43" s="3">
        <v>506</v>
      </c>
      <c r="C43" t="s">
        <v>128</v>
      </c>
      <c r="D43" t="s">
        <v>129</v>
      </c>
      <c r="E43" t="s">
        <v>14</v>
      </c>
      <c r="F43" t="s">
        <v>25</v>
      </c>
      <c r="G43" t="s">
        <v>45</v>
      </c>
      <c r="H43" t="s">
        <v>127</v>
      </c>
      <c r="I43" t="s">
        <v>127</v>
      </c>
      <c r="J43" s="3" t="s">
        <v>387</v>
      </c>
      <c r="K43" s="3"/>
      <c r="M43" s="4"/>
    </row>
    <row r="44" spans="1:13" x14ac:dyDescent="0.35">
      <c r="A44" s="3">
        <v>13</v>
      </c>
      <c r="B44" s="3">
        <v>515</v>
      </c>
      <c r="C44" t="s">
        <v>130</v>
      </c>
      <c r="D44" t="s">
        <v>131</v>
      </c>
      <c r="E44" t="s">
        <v>14</v>
      </c>
      <c r="F44" t="s">
        <v>25</v>
      </c>
      <c r="G44" t="s">
        <v>45</v>
      </c>
      <c r="H44" t="s">
        <v>127</v>
      </c>
      <c r="I44" t="s">
        <v>127</v>
      </c>
      <c r="J44" s="3" t="s">
        <v>387</v>
      </c>
      <c r="K44" s="3"/>
      <c r="M44" s="4"/>
    </row>
    <row r="45" spans="1:13" x14ac:dyDescent="0.35">
      <c r="A45" s="3">
        <v>121</v>
      </c>
      <c r="B45" s="3">
        <v>848</v>
      </c>
      <c r="C45" t="s">
        <v>132</v>
      </c>
      <c r="D45" t="s">
        <v>133</v>
      </c>
      <c r="E45" t="s">
        <v>77</v>
      </c>
      <c r="I45" t="s">
        <v>134</v>
      </c>
      <c r="J45" s="3" t="s">
        <v>234</v>
      </c>
      <c r="K45" s="3"/>
      <c r="M45" s="4"/>
    </row>
    <row r="46" spans="1:13" x14ac:dyDescent="0.35">
      <c r="A46" s="3">
        <v>112</v>
      </c>
      <c r="B46" s="3">
        <v>801</v>
      </c>
      <c r="C46" t="s">
        <v>135</v>
      </c>
      <c r="D46" t="s">
        <v>136</v>
      </c>
      <c r="E46" t="s">
        <v>77</v>
      </c>
      <c r="G46" t="s">
        <v>134</v>
      </c>
      <c r="H46" t="s">
        <v>137</v>
      </c>
      <c r="I46" t="s">
        <v>138</v>
      </c>
      <c r="J46" s="3" t="s">
        <v>234</v>
      </c>
      <c r="K46" s="3"/>
      <c r="M46" s="4"/>
    </row>
    <row r="47" spans="1:13" x14ac:dyDescent="0.35">
      <c r="A47" s="3">
        <v>114</v>
      </c>
      <c r="B47" s="3">
        <v>803</v>
      </c>
      <c r="C47" t="s">
        <v>138</v>
      </c>
      <c r="D47" t="s">
        <v>139</v>
      </c>
      <c r="E47" t="s">
        <v>77</v>
      </c>
      <c r="G47" t="s">
        <v>134</v>
      </c>
      <c r="H47" t="s">
        <v>140</v>
      </c>
      <c r="I47" t="s">
        <v>138</v>
      </c>
      <c r="J47" s="3" t="s">
        <v>234</v>
      </c>
      <c r="K47" s="3"/>
      <c r="M47" s="4"/>
    </row>
    <row r="48" spans="1:13" x14ac:dyDescent="0.35">
      <c r="A48" s="3">
        <v>113</v>
      </c>
      <c r="B48" s="3">
        <v>802</v>
      </c>
      <c r="C48" t="s">
        <v>141</v>
      </c>
      <c r="D48" t="s">
        <v>142</v>
      </c>
      <c r="E48" t="s">
        <v>77</v>
      </c>
      <c r="G48" t="s">
        <v>134</v>
      </c>
      <c r="H48" t="s">
        <v>140</v>
      </c>
      <c r="I48" t="s">
        <v>138</v>
      </c>
      <c r="J48" s="3" t="s">
        <v>234</v>
      </c>
      <c r="K48" s="3"/>
      <c r="M48" s="4"/>
    </row>
    <row r="49" spans="1:13" x14ac:dyDescent="0.35">
      <c r="A49" s="3">
        <v>124</v>
      </c>
      <c r="B49" s="3">
        <v>852</v>
      </c>
      <c r="C49" t="s">
        <v>143</v>
      </c>
      <c r="D49" t="s">
        <v>144</v>
      </c>
      <c r="E49" t="s">
        <v>14</v>
      </c>
      <c r="F49" t="s">
        <v>21</v>
      </c>
      <c r="G49" t="s">
        <v>145</v>
      </c>
      <c r="H49" t="s">
        <v>145</v>
      </c>
      <c r="I49" t="s">
        <v>145</v>
      </c>
      <c r="J49" s="3" t="s">
        <v>234</v>
      </c>
      <c r="K49" s="3"/>
      <c r="M49" s="4"/>
    </row>
    <row r="50" spans="1:13" x14ac:dyDescent="0.35">
      <c r="A50" s="3">
        <v>125</v>
      </c>
      <c r="B50" s="3">
        <v>857</v>
      </c>
      <c r="C50" t="s">
        <v>146</v>
      </c>
      <c r="D50" t="s">
        <v>147</v>
      </c>
      <c r="E50" t="s">
        <v>14</v>
      </c>
      <c r="F50" t="s">
        <v>21</v>
      </c>
      <c r="G50" t="s">
        <v>145</v>
      </c>
      <c r="H50" t="s">
        <v>145</v>
      </c>
      <c r="I50" t="s">
        <v>145</v>
      </c>
      <c r="J50" s="3" t="s">
        <v>234</v>
      </c>
      <c r="K50" s="3"/>
      <c r="M50" s="4"/>
    </row>
    <row r="51" spans="1:13" x14ac:dyDescent="0.35">
      <c r="A51" s="3">
        <v>126</v>
      </c>
      <c r="B51" s="3">
        <v>858</v>
      </c>
      <c r="C51" t="s">
        <v>148</v>
      </c>
      <c r="D51" t="s">
        <v>149</v>
      </c>
      <c r="E51" t="s">
        <v>14</v>
      </c>
      <c r="F51" t="s">
        <v>21</v>
      </c>
      <c r="G51" t="s">
        <v>145</v>
      </c>
      <c r="H51" t="s">
        <v>145</v>
      </c>
      <c r="I51" t="s">
        <v>145</v>
      </c>
      <c r="J51" s="3" t="s">
        <v>234</v>
      </c>
      <c r="K51" s="3"/>
      <c r="M51" s="4"/>
    </row>
    <row r="52" spans="1:13" x14ac:dyDescent="0.35">
      <c r="A52" s="3">
        <v>55</v>
      </c>
      <c r="B52" s="3">
        <v>575</v>
      </c>
      <c r="C52" t="s">
        <v>150</v>
      </c>
      <c r="D52" t="s">
        <v>151</v>
      </c>
      <c r="E52" t="s">
        <v>14</v>
      </c>
      <c r="F52" t="s">
        <v>25</v>
      </c>
      <c r="I52" t="s">
        <v>151</v>
      </c>
      <c r="J52" s="3" t="s">
        <v>387</v>
      </c>
      <c r="K52" s="3"/>
      <c r="M52" s="4"/>
    </row>
    <row r="53" spans="1:13" x14ac:dyDescent="0.35">
      <c r="A53" s="3">
        <v>57</v>
      </c>
      <c r="B53" s="3">
        <v>577</v>
      </c>
      <c r="C53" t="s">
        <v>152</v>
      </c>
      <c r="D53" t="s">
        <v>151</v>
      </c>
      <c r="E53" t="s">
        <v>14</v>
      </c>
      <c r="F53" t="s">
        <v>25</v>
      </c>
      <c r="I53" t="s">
        <v>151</v>
      </c>
      <c r="J53" s="3" t="s">
        <v>387</v>
      </c>
      <c r="K53" s="3"/>
      <c r="M53" s="4"/>
    </row>
    <row r="54" spans="1:13" x14ac:dyDescent="0.35">
      <c r="A54" s="3">
        <v>56</v>
      </c>
      <c r="B54" s="3">
        <v>576</v>
      </c>
      <c r="C54" t="s">
        <v>153</v>
      </c>
      <c r="D54" t="s">
        <v>151</v>
      </c>
      <c r="E54" t="s">
        <v>14</v>
      </c>
      <c r="F54" t="s">
        <v>25</v>
      </c>
      <c r="I54" t="s">
        <v>151</v>
      </c>
      <c r="J54" s="3" t="s">
        <v>387</v>
      </c>
      <c r="K54" s="3"/>
      <c r="M54" s="4"/>
    </row>
    <row r="55" spans="1:13" x14ac:dyDescent="0.35">
      <c r="A55" s="3">
        <v>26</v>
      </c>
      <c r="B55" s="3">
        <v>535</v>
      </c>
      <c r="C55" t="s">
        <v>154</v>
      </c>
      <c r="D55" t="s">
        <v>155</v>
      </c>
      <c r="E55" t="s">
        <v>14</v>
      </c>
      <c r="F55" t="s">
        <v>25</v>
      </c>
      <c r="G55" t="s">
        <v>26</v>
      </c>
      <c r="H55" t="s">
        <v>151</v>
      </c>
      <c r="I55" t="s">
        <v>151</v>
      </c>
      <c r="J55" s="3" t="s">
        <v>387</v>
      </c>
      <c r="K55" s="1"/>
      <c r="M55" s="3"/>
    </row>
    <row r="56" spans="1:13" x14ac:dyDescent="0.35">
      <c r="A56" s="3">
        <v>91</v>
      </c>
      <c r="B56" s="3">
        <v>708</v>
      </c>
      <c r="C56" t="s">
        <v>156</v>
      </c>
      <c r="D56" t="s">
        <v>157</v>
      </c>
      <c r="E56" t="s">
        <v>14</v>
      </c>
      <c r="F56" t="s">
        <v>15</v>
      </c>
      <c r="G56" t="s">
        <v>16</v>
      </c>
      <c r="H56" t="s">
        <v>158</v>
      </c>
      <c r="I56" t="s">
        <v>158</v>
      </c>
      <c r="J56" s="3" t="s">
        <v>387</v>
      </c>
      <c r="K56" s="3"/>
      <c r="M56" s="4"/>
    </row>
    <row r="57" spans="1:13" x14ac:dyDescent="0.35">
      <c r="A57" s="3">
        <v>76</v>
      </c>
      <c r="B57" s="3">
        <v>631</v>
      </c>
      <c r="C57" t="s">
        <v>159</v>
      </c>
      <c r="D57" t="s">
        <v>160</v>
      </c>
      <c r="E57" t="s">
        <v>14</v>
      </c>
      <c r="F57" t="s">
        <v>25</v>
      </c>
      <c r="G57" t="s">
        <v>26</v>
      </c>
      <c r="H57" t="s">
        <v>161</v>
      </c>
      <c r="I57" t="s">
        <v>161</v>
      </c>
      <c r="J57" s="3" t="s">
        <v>387</v>
      </c>
      <c r="K57" s="3"/>
      <c r="M57" s="4"/>
    </row>
    <row r="58" spans="1:13" x14ac:dyDescent="0.35">
      <c r="A58" s="3">
        <v>50</v>
      </c>
      <c r="B58" s="3">
        <v>568</v>
      </c>
      <c r="C58" t="s">
        <v>162</v>
      </c>
      <c r="D58" t="s">
        <v>163</v>
      </c>
      <c r="E58" t="s">
        <v>14</v>
      </c>
      <c r="F58" t="s">
        <v>25</v>
      </c>
      <c r="G58" t="s">
        <v>56</v>
      </c>
      <c r="I58" t="s">
        <v>164</v>
      </c>
      <c r="J58" s="3" t="s">
        <v>387</v>
      </c>
      <c r="K58" s="3"/>
      <c r="M58" s="4"/>
    </row>
    <row r="59" spans="1:13" x14ac:dyDescent="0.35">
      <c r="A59" s="3">
        <v>25</v>
      </c>
      <c r="B59" s="3">
        <v>534</v>
      </c>
      <c r="C59" t="s">
        <v>165</v>
      </c>
      <c r="D59" t="s">
        <v>166</v>
      </c>
      <c r="E59" t="s">
        <v>14</v>
      </c>
      <c r="F59" t="s">
        <v>25</v>
      </c>
      <c r="G59" t="s">
        <v>26</v>
      </c>
      <c r="H59" t="s">
        <v>167</v>
      </c>
      <c r="I59" t="s">
        <v>167</v>
      </c>
      <c r="J59" s="3" t="s">
        <v>387</v>
      </c>
      <c r="K59" s="3"/>
      <c r="M59" s="4"/>
    </row>
    <row r="60" spans="1:13" x14ac:dyDescent="0.35">
      <c r="A60" s="3">
        <v>34</v>
      </c>
      <c r="B60" s="3">
        <v>544</v>
      </c>
      <c r="C60" t="s">
        <v>168</v>
      </c>
      <c r="D60" t="s">
        <v>169</v>
      </c>
      <c r="E60" t="s">
        <v>14</v>
      </c>
      <c r="F60" t="s">
        <v>25</v>
      </c>
      <c r="G60" t="s">
        <v>26</v>
      </c>
      <c r="H60" t="s">
        <v>167</v>
      </c>
      <c r="I60" t="s">
        <v>167</v>
      </c>
      <c r="J60" s="3" t="s">
        <v>387</v>
      </c>
      <c r="K60" s="3"/>
      <c r="M60" s="4"/>
    </row>
    <row r="61" spans="1:13" x14ac:dyDescent="0.35">
      <c r="A61" s="3">
        <v>29</v>
      </c>
      <c r="B61" s="3">
        <v>538</v>
      </c>
      <c r="C61" t="s">
        <v>170</v>
      </c>
      <c r="D61" t="s">
        <v>171</v>
      </c>
      <c r="E61" t="s">
        <v>14</v>
      </c>
      <c r="F61" t="s">
        <v>25</v>
      </c>
      <c r="G61" t="s">
        <v>26</v>
      </c>
      <c r="H61" t="s">
        <v>172</v>
      </c>
      <c r="I61" t="s">
        <v>172</v>
      </c>
      <c r="J61" s="3" t="s">
        <v>387</v>
      </c>
      <c r="K61" s="3"/>
      <c r="M61" s="4"/>
    </row>
    <row r="62" spans="1:13" x14ac:dyDescent="0.35">
      <c r="A62" s="3">
        <v>7</v>
      </c>
      <c r="B62" s="3">
        <v>508</v>
      </c>
      <c r="C62" t="s">
        <v>173</v>
      </c>
      <c r="D62" t="s">
        <v>174</v>
      </c>
      <c r="E62" t="s">
        <v>14</v>
      </c>
      <c r="F62" t="s">
        <v>25</v>
      </c>
      <c r="G62" t="s">
        <v>175</v>
      </c>
      <c r="H62" t="s">
        <v>176</v>
      </c>
      <c r="I62" t="s">
        <v>177</v>
      </c>
      <c r="J62" s="3" t="s">
        <v>387</v>
      </c>
      <c r="K62" s="3"/>
      <c r="M62" s="4"/>
    </row>
    <row r="63" spans="1:13" x14ac:dyDescent="0.35">
      <c r="A63" s="3">
        <v>15</v>
      </c>
      <c r="B63" s="3">
        <v>519</v>
      </c>
      <c r="C63" t="s">
        <v>178</v>
      </c>
      <c r="D63" t="s">
        <v>179</v>
      </c>
      <c r="E63" t="s">
        <v>14</v>
      </c>
      <c r="F63" t="s">
        <v>25</v>
      </c>
      <c r="G63" t="s">
        <v>175</v>
      </c>
      <c r="H63" t="s">
        <v>176</v>
      </c>
      <c r="I63" t="s">
        <v>180</v>
      </c>
      <c r="J63" s="3" t="s">
        <v>387</v>
      </c>
      <c r="K63" s="3"/>
      <c r="M63" s="4"/>
    </row>
    <row r="64" spans="1:13" x14ac:dyDescent="0.35">
      <c r="A64" s="3">
        <v>16</v>
      </c>
      <c r="B64" s="3">
        <v>521</v>
      </c>
      <c r="C64" t="s">
        <v>181</v>
      </c>
      <c r="D64" t="s">
        <v>182</v>
      </c>
      <c r="E64" t="s">
        <v>14</v>
      </c>
      <c r="F64" t="s">
        <v>25</v>
      </c>
      <c r="G64" t="s">
        <v>175</v>
      </c>
      <c r="H64" t="s">
        <v>176</v>
      </c>
      <c r="I64" t="s">
        <v>183</v>
      </c>
      <c r="J64" s="3" t="s">
        <v>387</v>
      </c>
      <c r="K64" s="3"/>
      <c r="M64" s="4"/>
    </row>
    <row r="65" spans="1:13" x14ac:dyDescent="0.35">
      <c r="A65" s="3">
        <v>141</v>
      </c>
      <c r="B65" s="3">
        <v>935</v>
      </c>
      <c r="C65" t="s">
        <v>184</v>
      </c>
      <c r="I65" t="s">
        <v>107</v>
      </c>
      <c r="J65" s="3" t="s">
        <v>37</v>
      </c>
      <c r="K65" s="3"/>
      <c r="M65" s="4"/>
    </row>
    <row r="66" spans="1:13" x14ac:dyDescent="0.35">
      <c r="A66" s="3">
        <v>66</v>
      </c>
      <c r="B66" s="3">
        <v>611</v>
      </c>
      <c r="C66" t="s">
        <v>185</v>
      </c>
      <c r="D66" t="s">
        <v>186</v>
      </c>
      <c r="E66" t="s">
        <v>14</v>
      </c>
      <c r="F66" t="s">
        <v>37</v>
      </c>
      <c r="G66" t="s">
        <v>107</v>
      </c>
      <c r="H66" t="s">
        <v>107</v>
      </c>
      <c r="I66" t="s">
        <v>187</v>
      </c>
      <c r="J66" s="3" t="s">
        <v>37</v>
      </c>
      <c r="K66" s="3"/>
      <c r="M66" s="4"/>
    </row>
    <row r="67" spans="1:13" x14ac:dyDescent="0.35">
      <c r="A67" s="3">
        <v>67</v>
      </c>
      <c r="B67" s="3">
        <v>612</v>
      </c>
      <c r="C67" t="s">
        <v>188</v>
      </c>
      <c r="D67" t="s">
        <v>189</v>
      </c>
      <c r="E67" t="s">
        <v>14</v>
      </c>
      <c r="F67" t="s">
        <v>37</v>
      </c>
      <c r="G67" t="s">
        <v>107</v>
      </c>
      <c r="H67" t="s">
        <v>107</v>
      </c>
      <c r="I67" t="s">
        <v>187</v>
      </c>
      <c r="J67" s="3" t="s">
        <v>37</v>
      </c>
      <c r="K67" s="3"/>
      <c r="M67" s="4"/>
    </row>
    <row r="68" spans="1:13" x14ac:dyDescent="0.35">
      <c r="A68" s="3">
        <v>123</v>
      </c>
      <c r="B68" s="3">
        <v>851</v>
      </c>
      <c r="C68" t="s">
        <v>190</v>
      </c>
      <c r="D68" t="s">
        <v>191</v>
      </c>
      <c r="E68" t="s">
        <v>14</v>
      </c>
      <c r="F68" t="s">
        <v>21</v>
      </c>
      <c r="I68" t="s">
        <v>187</v>
      </c>
      <c r="J68" s="3" t="s">
        <v>37</v>
      </c>
      <c r="K68" s="3"/>
      <c r="M68" s="4"/>
    </row>
    <row r="69" spans="1:13" x14ac:dyDescent="0.35">
      <c r="A69" s="3">
        <v>142</v>
      </c>
      <c r="B69" s="3">
        <v>936</v>
      </c>
      <c r="C69" t="s">
        <v>192</v>
      </c>
      <c r="I69" t="s">
        <v>187</v>
      </c>
      <c r="J69" s="3" t="s">
        <v>37</v>
      </c>
      <c r="K69" s="3"/>
      <c r="M69" s="4"/>
    </row>
    <row r="70" spans="1:13" x14ac:dyDescent="0.35">
      <c r="A70" s="3">
        <v>77</v>
      </c>
      <c r="B70" s="3">
        <v>632</v>
      </c>
      <c r="C70" t="s">
        <v>193</v>
      </c>
      <c r="D70" t="s">
        <v>194</v>
      </c>
      <c r="E70" t="s">
        <v>14</v>
      </c>
      <c r="F70" t="s">
        <v>37</v>
      </c>
      <c r="I70" t="s">
        <v>195</v>
      </c>
      <c r="J70" s="3" t="s">
        <v>37</v>
      </c>
      <c r="K70" s="3"/>
      <c r="M70" s="4"/>
    </row>
    <row r="71" spans="1:13" x14ac:dyDescent="0.35">
      <c r="A71" s="3">
        <v>68</v>
      </c>
      <c r="B71" s="3">
        <v>613</v>
      </c>
      <c r="C71" t="s">
        <v>196</v>
      </c>
      <c r="D71" t="s">
        <v>197</v>
      </c>
      <c r="E71" t="s">
        <v>14</v>
      </c>
      <c r="F71" t="s">
        <v>37</v>
      </c>
      <c r="G71" t="s">
        <v>107</v>
      </c>
      <c r="H71" t="s">
        <v>107</v>
      </c>
      <c r="I71" t="s">
        <v>198</v>
      </c>
      <c r="J71" s="3" t="s">
        <v>37</v>
      </c>
      <c r="K71" s="3"/>
      <c r="M71" s="4"/>
    </row>
    <row r="72" spans="1:13" x14ac:dyDescent="0.35">
      <c r="A72" s="3">
        <v>64</v>
      </c>
      <c r="B72" s="3">
        <v>601</v>
      </c>
      <c r="C72" t="s">
        <v>199</v>
      </c>
      <c r="D72" t="s">
        <v>200</v>
      </c>
      <c r="E72" t="s">
        <v>14</v>
      </c>
      <c r="F72" t="s">
        <v>37</v>
      </c>
      <c r="G72" t="s">
        <v>107</v>
      </c>
      <c r="H72" t="s">
        <v>107</v>
      </c>
      <c r="I72" t="s">
        <v>201</v>
      </c>
      <c r="J72" s="3" t="s">
        <v>234</v>
      </c>
      <c r="K72" s="3"/>
      <c r="M72" s="4"/>
    </row>
    <row r="73" spans="1:13" x14ac:dyDescent="0.35">
      <c r="A73" s="3">
        <v>65</v>
      </c>
      <c r="B73" s="3">
        <v>602</v>
      </c>
      <c r="C73" t="s">
        <v>202</v>
      </c>
      <c r="D73" t="s">
        <v>203</v>
      </c>
      <c r="E73" t="s">
        <v>14</v>
      </c>
      <c r="F73" t="s">
        <v>37</v>
      </c>
      <c r="G73" t="s">
        <v>107</v>
      </c>
      <c r="H73" t="s">
        <v>107</v>
      </c>
      <c r="I73" t="s">
        <v>201</v>
      </c>
      <c r="J73" s="3" t="s">
        <v>37</v>
      </c>
      <c r="K73" s="3"/>
      <c r="M73" s="4"/>
    </row>
    <row r="74" spans="1:13" x14ac:dyDescent="0.35">
      <c r="A74" s="3">
        <v>53</v>
      </c>
      <c r="B74" s="3">
        <v>573</v>
      </c>
      <c r="C74" t="s">
        <v>204</v>
      </c>
      <c r="D74" t="s">
        <v>205</v>
      </c>
      <c r="E74" t="s">
        <v>14</v>
      </c>
      <c r="F74" t="s">
        <v>25</v>
      </c>
      <c r="G74" t="s">
        <v>26</v>
      </c>
      <c r="H74" t="s">
        <v>206</v>
      </c>
      <c r="I74" t="s">
        <v>206</v>
      </c>
      <c r="J74" s="3" t="s">
        <v>387</v>
      </c>
      <c r="K74" s="3"/>
      <c r="M74" s="4"/>
    </row>
    <row r="75" spans="1:13" x14ac:dyDescent="0.35">
      <c r="A75" s="3">
        <v>143</v>
      </c>
      <c r="B75" s="3">
        <v>998</v>
      </c>
      <c r="C75" t="s">
        <v>207</v>
      </c>
      <c r="D75" t="s">
        <v>208</v>
      </c>
      <c r="E75" t="s">
        <v>209</v>
      </c>
      <c r="G75" t="s">
        <v>209</v>
      </c>
      <c r="H75" t="s">
        <v>210</v>
      </c>
      <c r="I75" t="s">
        <v>210</v>
      </c>
      <c r="J75" s="3" t="s">
        <v>234</v>
      </c>
      <c r="K75" s="3"/>
      <c r="M75" s="4"/>
    </row>
    <row r="76" spans="1:13" x14ac:dyDescent="0.35">
      <c r="A76" s="3">
        <v>131</v>
      </c>
      <c r="B76" s="3">
        <v>903</v>
      </c>
      <c r="C76" t="s">
        <v>211</v>
      </c>
      <c r="D76" t="s">
        <v>212</v>
      </c>
      <c r="E76" t="s">
        <v>209</v>
      </c>
      <c r="G76" t="s">
        <v>209</v>
      </c>
      <c r="H76" t="s">
        <v>210</v>
      </c>
      <c r="I76" t="s">
        <v>210</v>
      </c>
      <c r="J76" s="3" t="s">
        <v>234</v>
      </c>
      <c r="K76" s="3"/>
      <c r="M76" s="4"/>
    </row>
    <row r="77" spans="1:13" x14ac:dyDescent="0.35">
      <c r="A77" s="3">
        <v>133</v>
      </c>
      <c r="B77" s="3">
        <v>905</v>
      </c>
      <c r="C77" t="s">
        <v>213</v>
      </c>
      <c r="D77" t="s">
        <v>214</v>
      </c>
      <c r="E77" t="s">
        <v>77</v>
      </c>
      <c r="H77" t="s">
        <v>210</v>
      </c>
      <c r="I77" t="s">
        <v>210</v>
      </c>
      <c r="J77" s="3" t="s">
        <v>234</v>
      </c>
      <c r="K77" s="3"/>
      <c r="M77" s="4"/>
    </row>
    <row r="78" spans="1:13" x14ac:dyDescent="0.35">
      <c r="A78" s="3">
        <v>98</v>
      </c>
      <c r="B78" s="3">
        <v>715</v>
      </c>
      <c r="C78" t="s">
        <v>215</v>
      </c>
      <c r="D78" t="s">
        <v>216</v>
      </c>
      <c r="E78" t="s">
        <v>14</v>
      </c>
      <c r="F78" t="s">
        <v>21</v>
      </c>
      <c r="I78" t="s">
        <v>217</v>
      </c>
      <c r="J78" s="3" t="s">
        <v>234</v>
      </c>
      <c r="K78" s="3"/>
      <c r="M78" s="4"/>
    </row>
    <row r="79" spans="1:13" x14ac:dyDescent="0.35">
      <c r="A79" s="3">
        <v>97</v>
      </c>
      <c r="B79" s="3">
        <v>714</v>
      </c>
      <c r="C79" t="s">
        <v>218</v>
      </c>
      <c r="D79" t="s">
        <v>219</v>
      </c>
      <c r="E79" t="s">
        <v>14</v>
      </c>
      <c r="F79" t="s">
        <v>21</v>
      </c>
      <c r="I79" t="s">
        <v>217</v>
      </c>
      <c r="J79" s="3" t="s">
        <v>234</v>
      </c>
      <c r="K79" s="3"/>
      <c r="M79" s="4"/>
    </row>
    <row r="80" spans="1:13" x14ac:dyDescent="0.35">
      <c r="A80" s="3">
        <v>3</v>
      </c>
      <c r="B80" s="3">
        <v>504</v>
      </c>
      <c r="C80" t="s">
        <v>220</v>
      </c>
      <c r="D80" t="s">
        <v>221</v>
      </c>
      <c r="E80" t="s">
        <v>14</v>
      </c>
      <c r="F80" t="s">
        <v>25</v>
      </c>
      <c r="G80" t="s">
        <v>45</v>
      </c>
      <c r="H80" t="s">
        <v>222</v>
      </c>
      <c r="I80" t="s">
        <v>222</v>
      </c>
      <c r="J80" s="3" t="s">
        <v>387</v>
      </c>
      <c r="K80" s="3"/>
      <c r="M80" s="4"/>
    </row>
    <row r="81" spans="1:13" x14ac:dyDescent="0.35">
      <c r="A81" s="3">
        <v>87</v>
      </c>
      <c r="B81" s="3">
        <v>704</v>
      </c>
      <c r="C81" t="s">
        <v>223</v>
      </c>
      <c r="D81" t="s">
        <v>224</v>
      </c>
      <c r="E81" t="s">
        <v>14</v>
      </c>
      <c r="F81" t="s">
        <v>15</v>
      </c>
      <c r="G81" t="s">
        <v>16</v>
      </c>
      <c r="H81" t="s">
        <v>225</v>
      </c>
      <c r="I81" t="s">
        <v>15</v>
      </c>
      <c r="J81" s="3" t="s">
        <v>234</v>
      </c>
      <c r="K81" s="3"/>
      <c r="M81" s="4"/>
    </row>
    <row r="82" spans="1:13" x14ac:dyDescent="0.35">
      <c r="A82" s="3">
        <v>107</v>
      </c>
      <c r="B82" s="3">
        <v>731</v>
      </c>
      <c r="C82" t="s">
        <v>226</v>
      </c>
      <c r="D82" t="s">
        <v>227</v>
      </c>
      <c r="E82" t="s">
        <v>14</v>
      </c>
      <c r="F82" t="s">
        <v>21</v>
      </c>
      <c r="I82" t="s">
        <v>228</v>
      </c>
      <c r="J82" s="3" t="s">
        <v>234</v>
      </c>
      <c r="K82" s="3"/>
      <c r="M82" s="4"/>
    </row>
    <row r="83" spans="1:13" x14ac:dyDescent="0.35">
      <c r="A83" s="3">
        <v>106</v>
      </c>
      <c r="B83" s="3">
        <v>730</v>
      </c>
      <c r="C83" t="s">
        <v>229</v>
      </c>
      <c r="D83" t="s">
        <v>230</v>
      </c>
      <c r="I83" t="s">
        <v>228</v>
      </c>
      <c r="J83" s="3" t="s">
        <v>234</v>
      </c>
      <c r="K83" s="3"/>
      <c r="M83" s="4"/>
    </row>
    <row r="84" spans="1:13" x14ac:dyDescent="0.35">
      <c r="A84" s="3">
        <v>130</v>
      </c>
      <c r="B84" s="3">
        <v>902</v>
      </c>
      <c r="C84" t="s">
        <v>231</v>
      </c>
      <c r="D84" t="s">
        <v>232</v>
      </c>
      <c r="E84" t="s">
        <v>14</v>
      </c>
      <c r="F84" t="s">
        <v>21</v>
      </c>
      <c r="G84" t="s">
        <v>233</v>
      </c>
      <c r="H84" t="s">
        <v>233</v>
      </c>
      <c r="I84" t="s">
        <v>234</v>
      </c>
      <c r="J84" s="3" t="s">
        <v>234</v>
      </c>
      <c r="K84" s="3"/>
      <c r="M84" s="4"/>
    </row>
    <row r="85" spans="1:13" x14ac:dyDescent="0.35">
      <c r="A85" s="3">
        <v>128</v>
      </c>
      <c r="B85" s="3">
        <v>898</v>
      </c>
      <c r="C85" t="s">
        <v>235</v>
      </c>
      <c r="D85" t="s">
        <v>236</v>
      </c>
      <c r="E85" t="s">
        <v>209</v>
      </c>
      <c r="H85" t="s">
        <v>233</v>
      </c>
      <c r="I85" t="s">
        <v>234</v>
      </c>
      <c r="J85" s="3" t="s">
        <v>234</v>
      </c>
      <c r="K85" s="3"/>
      <c r="M85" s="4"/>
    </row>
    <row r="86" spans="1:13" x14ac:dyDescent="0.35">
      <c r="A86" s="3">
        <v>127</v>
      </c>
      <c r="B86" s="3">
        <v>897</v>
      </c>
      <c r="C86" t="s">
        <v>237</v>
      </c>
      <c r="D86" t="s">
        <v>238</v>
      </c>
      <c r="E86" t="s">
        <v>209</v>
      </c>
      <c r="H86" t="s">
        <v>233</v>
      </c>
      <c r="I86" t="s">
        <v>234</v>
      </c>
      <c r="J86" s="3" t="s">
        <v>234</v>
      </c>
      <c r="K86" s="3"/>
      <c r="M86" s="4"/>
    </row>
    <row r="87" spans="1:13" x14ac:dyDescent="0.35">
      <c r="A87" s="3">
        <v>110</v>
      </c>
      <c r="B87" s="3">
        <v>797</v>
      </c>
      <c r="C87" t="s">
        <v>239</v>
      </c>
      <c r="D87" t="s">
        <v>240</v>
      </c>
      <c r="E87" t="s">
        <v>14</v>
      </c>
      <c r="F87" t="s">
        <v>21</v>
      </c>
      <c r="G87" t="s">
        <v>38</v>
      </c>
      <c r="I87" t="s">
        <v>234</v>
      </c>
      <c r="J87" s="3" t="s">
        <v>234</v>
      </c>
      <c r="K87" s="3"/>
      <c r="M87" s="4"/>
    </row>
    <row r="88" spans="1:13" x14ac:dyDescent="0.35">
      <c r="A88" s="3">
        <v>111</v>
      </c>
      <c r="B88" s="3">
        <v>798</v>
      </c>
      <c r="C88" t="s">
        <v>241</v>
      </c>
      <c r="D88" t="s">
        <v>242</v>
      </c>
      <c r="E88" t="s">
        <v>14</v>
      </c>
      <c r="F88" t="s">
        <v>21</v>
      </c>
      <c r="I88" t="s">
        <v>234</v>
      </c>
      <c r="J88" s="3" t="s">
        <v>234</v>
      </c>
      <c r="K88" s="3"/>
      <c r="M88" s="4"/>
    </row>
    <row r="89" spans="1:13" x14ac:dyDescent="0.35">
      <c r="A89" s="3">
        <v>109</v>
      </c>
      <c r="B89" s="3">
        <v>750</v>
      </c>
      <c r="C89" t="s">
        <v>243</v>
      </c>
      <c r="I89" t="s">
        <v>234</v>
      </c>
      <c r="J89" s="3" t="s">
        <v>234</v>
      </c>
      <c r="K89" s="3"/>
      <c r="M89" s="4"/>
    </row>
    <row r="90" spans="1:13" x14ac:dyDescent="0.35">
      <c r="A90" s="3">
        <v>119</v>
      </c>
      <c r="B90" s="3">
        <v>830</v>
      </c>
      <c r="C90" t="s">
        <v>244</v>
      </c>
      <c r="I90" t="s">
        <v>245</v>
      </c>
      <c r="J90" s="3" t="s">
        <v>234</v>
      </c>
      <c r="K90" s="3"/>
      <c r="M90" s="4"/>
    </row>
    <row r="91" spans="1:13" x14ac:dyDescent="0.35">
      <c r="A91" s="3">
        <v>118</v>
      </c>
      <c r="B91" s="3">
        <v>810</v>
      </c>
      <c r="C91" t="s">
        <v>246</v>
      </c>
      <c r="D91" t="s">
        <v>246</v>
      </c>
      <c r="I91" t="s">
        <v>245</v>
      </c>
      <c r="J91" s="3" t="s">
        <v>234</v>
      </c>
      <c r="K91" s="3"/>
      <c r="M91" s="4"/>
    </row>
    <row r="92" spans="1:13" x14ac:dyDescent="0.35">
      <c r="A92" s="3">
        <v>69</v>
      </c>
      <c r="B92" s="3">
        <v>616</v>
      </c>
      <c r="C92" t="s">
        <v>247</v>
      </c>
      <c r="D92" t="s">
        <v>248</v>
      </c>
      <c r="E92" t="s">
        <v>14</v>
      </c>
      <c r="F92" t="s">
        <v>37</v>
      </c>
      <c r="G92" t="s">
        <v>116</v>
      </c>
      <c r="H92" t="s">
        <v>116</v>
      </c>
      <c r="I92" t="s">
        <v>116</v>
      </c>
      <c r="J92" s="3" t="s">
        <v>37</v>
      </c>
      <c r="K92" s="3"/>
      <c r="M92" s="4"/>
    </row>
    <row r="93" spans="1:13" x14ac:dyDescent="0.35">
      <c r="A93" s="3">
        <v>71</v>
      </c>
      <c r="B93" s="3">
        <v>618</v>
      </c>
      <c r="C93" t="s">
        <v>114</v>
      </c>
      <c r="D93" t="s">
        <v>115</v>
      </c>
      <c r="E93" t="s">
        <v>14</v>
      </c>
      <c r="F93" t="s">
        <v>37</v>
      </c>
      <c r="G93" t="s">
        <v>116</v>
      </c>
      <c r="H93" t="s">
        <v>116</v>
      </c>
      <c r="I93" t="s">
        <v>116</v>
      </c>
      <c r="J93" s="3" t="s">
        <v>37</v>
      </c>
      <c r="K93" s="3"/>
      <c r="M93" s="4"/>
    </row>
    <row r="94" spans="1:13" x14ac:dyDescent="0.35">
      <c r="A94" s="3">
        <v>140</v>
      </c>
      <c r="B94" s="3">
        <v>933</v>
      </c>
      <c r="C94" t="s">
        <v>249</v>
      </c>
      <c r="I94" t="s">
        <v>116</v>
      </c>
      <c r="J94" s="3" t="s">
        <v>37</v>
      </c>
      <c r="K94" s="3"/>
      <c r="M94" s="4"/>
    </row>
    <row r="95" spans="1:13" x14ac:dyDescent="0.35">
      <c r="A95" s="3">
        <v>79</v>
      </c>
      <c r="B95" s="3">
        <v>660</v>
      </c>
      <c r="C95" t="s">
        <v>250</v>
      </c>
      <c r="I95" t="s">
        <v>116</v>
      </c>
      <c r="J95" s="3" t="s">
        <v>37</v>
      </c>
      <c r="K95" s="3"/>
      <c r="M95" s="4"/>
    </row>
    <row r="96" spans="1:13" x14ac:dyDescent="0.35">
      <c r="A96" s="3">
        <v>70</v>
      </c>
      <c r="B96" s="3">
        <v>617</v>
      </c>
      <c r="C96" t="s">
        <v>251</v>
      </c>
      <c r="D96" t="s">
        <v>252</v>
      </c>
      <c r="E96" t="s">
        <v>14</v>
      </c>
      <c r="F96" t="s">
        <v>37</v>
      </c>
      <c r="G96" t="s">
        <v>116</v>
      </c>
      <c r="H96" t="s">
        <v>116</v>
      </c>
      <c r="I96" t="s">
        <v>253</v>
      </c>
      <c r="J96" s="3" t="s">
        <v>37</v>
      </c>
      <c r="K96" s="3"/>
      <c r="M96" s="4"/>
    </row>
    <row r="97" spans="1:13" x14ac:dyDescent="0.35">
      <c r="A97" s="3">
        <v>135</v>
      </c>
      <c r="B97" s="3">
        <v>907</v>
      </c>
      <c r="C97" t="s">
        <v>254</v>
      </c>
      <c r="D97" t="s">
        <v>255</v>
      </c>
      <c r="E97" t="s">
        <v>93</v>
      </c>
      <c r="I97" t="s">
        <v>256</v>
      </c>
      <c r="J97" s="3" t="s">
        <v>234</v>
      </c>
      <c r="K97" s="3"/>
      <c r="M97" s="4"/>
    </row>
    <row r="98" spans="1:13" x14ac:dyDescent="0.35">
      <c r="A98" s="3">
        <v>86</v>
      </c>
      <c r="B98" s="3">
        <v>703</v>
      </c>
      <c r="C98" t="s">
        <v>257</v>
      </c>
      <c r="D98" t="s">
        <v>258</v>
      </c>
      <c r="E98" t="s">
        <v>14</v>
      </c>
      <c r="F98" t="s">
        <v>15</v>
      </c>
      <c r="G98" t="s">
        <v>16</v>
      </c>
      <c r="H98" t="s">
        <v>259</v>
      </c>
      <c r="I98" t="s">
        <v>259</v>
      </c>
      <c r="J98" s="3" t="s">
        <v>234</v>
      </c>
      <c r="K98" s="3"/>
      <c r="M98" s="4"/>
    </row>
    <row r="99" spans="1:13" x14ac:dyDescent="0.35">
      <c r="A99" s="3">
        <v>28</v>
      </c>
      <c r="B99" s="3">
        <v>537</v>
      </c>
      <c r="C99" t="s">
        <v>260</v>
      </c>
      <c r="D99" t="s">
        <v>261</v>
      </c>
      <c r="E99" t="s">
        <v>14</v>
      </c>
      <c r="F99" t="s">
        <v>25</v>
      </c>
      <c r="G99" t="s">
        <v>26</v>
      </c>
      <c r="H99" t="s">
        <v>262</v>
      </c>
      <c r="I99" t="s">
        <v>262</v>
      </c>
      <c r="J99" s="3" t="s">
        <v>387</v>
      </c>
      <c r="K99" s="3"/>
      <c r="M99" s="4"/>
    </row>
    <row r="100" spans="1:13" x14ac:dyDescent="0.35">
      <c r="A100" s="3">
        <v>105</v>
      </c>
      <c r="B100" s="3">
        <v>725</v>
      </c>
      <c r="C100" t="s">
        <v>263</v>
      </c>
      <c r="D100" t="s">
        <v>264</v>
      </c>
      <c r="E100" t="s">
        <v>14</v>
      </c>
      <c r="I100" t="s">
        <v>264</v>
      </c>
      <c r="J100" s="3" t="s">
        <v>234</v>
      </c>
      <c r="K100" s="3"/>
      <c r="M100" s="4"/>
    </row>
    <row r="101" spans="1:13" x14ac:dyDescent="0.35">
      <c r="A101" s="3">
        <v>83</v>
      </c>
      <c r="B101" s="3">
        <v>698</v>
      </c>
      <c r="C101" t="s">
        <v>265</v>
      </c>
      <c r="D101" t="s">
        <v>266</v>
      </c>
      <c r="E101" t="s">
        <v>14</v>
      </c>
      <c r="F101" t="s">
        <v>37</v>
      </c>
      <c r="I101" t="s">
        <v>267</v>
      </c>
      <c r="J101" s="3" t="s">
        <v>37</v>
      </c>
      <c r="K101" s="3"/>
      <c r="M101" s="4"/>
    </row>
    <row r="102" spans="1:13" x14ac:dyDescent="0.35">
      <c r="A102" s="3">
        <v>82</v>
      </c>
      <c r="B102" s="3">
        <v>697</v>
      </c>
      <c r="C102" t="s">
        <v>268</v>
      </c>
      <c r="D102" t="s">
        <v>269</v>
      </c>
      <c r="E102" t="s">
        <v>14</v>
      </c>
      <c r="F102" t="s">
        <v>37</v>
      </c>
      <c r="G102" t="s">
        <v>38</v>
      </c>
      <c r="I102" t="s">
        <v>267</v>
      </c>
      <c r="J102" s="3" t="s">
        <v>37</v>
      </c>
      <c r="K102" s="3"/>
      <c r="M102" s="4"/>
    </row>
    <row r="103" spans="1:13" x14ac:dyDescent="0.35">
      <c r="A103" s="3">
        <v>19</v>
      </c>
      <c r="B103" s="3">
        <v>524</v>
      </c>
      <c r="C103" t="s">
        <v>270</v>
      </c>
      <c r="D103" t="s">
        <v>271</v>
      </c>
      <c r="E103" t="s">
        <v>14</v>
      </c>
      <c r="F103" t="s">
        <v>25</v>
      </c>
      <c r="G103" t="s">
        <v>26</v>
      </c>
      <c r="H103" t="s">
        <v>272</v>
      </c>
      <c r="I103" t="s">
        <v>272</v>
      </c>
      <c r="J103" s="3" t="s">
        <v>387</v>
      </c>
      <c r="K103" s="3"/>
      <c r="M103" s="4"/>
    </row>
    <row r="104" spans="1:13" x14ac:dyDescent="0.35">
      <c r="A104" s="3">
        <v>20</v>
      </c>
      <c r="B104" s="3">
        <v>525</v>
      </c>
      <c r="C104" t="s">
        <v>273</v>
      </c>
      <c r="D104" t="s">
        <v>274</v>
      </c>
      <c r="E104" t="s">
        <v>14</v>
      </c>
      <c r="F104" t="s">
        <v>25</v>
      </c>
      <c r="G104" t="s">
        <v>26</v>
      </c>
      <c r="H104" t="s">
        <v>272</v>
      </c>
      <c r="I104" t="s">
        <v>272</v>
      </c>
      <c r="J104" s="3" t="s">
        <v>387</v>
      </c>
      <c r="K104" s="3"/>
      <c r="M104" s="4"/>
    </row>
    <row r="105" spans="1:13" x14ac:dyDescent="0.35">
      <c r="A105" s="3">
        <v>30</v>
      </c>
      <c r="B105" s="3">
        <v>539</v>
      </c>
      <c r="C105" t="s">
        <v>275</v>
      </c>
      <c r="D105" t="s">
        <v>276</v>
      </c>
      <c r="E105" t="s">
        <v>14</v>
      </c>
      <c r="F105" t="s">
        <v>25</v>
      </c>
      <c r="G105" t="s">
        <v>52</v>
      </c>
      <c r="H105" t="s">
        <v>277</v>
      </c>
      <c r="I105" t="s">
        <v>277</v>
      </c>
      <c r="J105" s="3" t="s">
        <v>387</v>
      </c>
      <c r="K105" s="3"/>
      <c r="M105" s="4"/>
    </row>
    <row r="106" spans="1:13" x14ac:dyDescent="0.35">
      <c r="A106" s="3">
        <v>8</v>
      </c>
      <c r="B106" s="3">
        <v>509</v>
      </c>
      <c r="C106" t="s">
        <v>278</v>
      </c>
      <c r="D106" t="s">
        <v>279</v>
      </c>
      <c r="E106" t="s">
        <v>14</v>
      </c>
      <c r="F106" t="s">
        <v>25</v>
      </c>
      <c r="G106" t="s">
        <v>45</v>
      </c>
      <c r="H106" t="s">
        <v>279</v>
      </c>
      <c r="I106" t="s">
        <v>279</v>
      </c>
      <c r="J106" s="3" t="s">
        <v>387</v>
      </c>
      <c r="K106" s="3"/>
      <c r="M106" s="4"/>
    </row>
    <row r="107" spans="1:13" x14ac:dyDescent="0.35">
      <c r="A107" s="3">
        <v>78</v>
      </c>
      <c r="B107" s="3">
        <v>634</v>
      </c>
      <c r="C107" t="s">
        <v>280</v>
      </c>
      <c r="D107" t="s">
        <v>281</v>
      </c>
      <c r="E107" t="s">
        <v>14</v>
      </c>
      <c r="F107" t="s">
        <v>37</v>
      </c>
      <c r="G107" t="s">
        <v>107</v>
      </c>
      <c r="H107" t="s">
        <v>107</v>
      </c>
      <c r="I107" t="s">
        <v>282</v>
      </c>
      <c r="J107" s="3" t="s">
        <v>37</v>
      </c>
      <c r="K107" s="3"/>
      <c r="M107" s="4"/>
    </row>
    <row r="108" spans="1:13" x14ac:dyDescent="0.35">
      <c r="A108" s="3">
        <v>12</v>
      </c>
      <c r="B108" s="3">
        <v>514</v>
      </c>
      <c r="C108" t="s">
        <v>283</v>
      </c>
      <c r="D108" t="s">
        <v>284</v>
      </c>
      <c r="E108" t="s">
        <v>14</v>
      </c>
      <c r="F108" t="s">
        <v>25</v>
      </c>
      <c r="G108" t="s">
        <v>45</v>
      </c>
      <c r="H108" t="s">
        <v>285</v>
      </c>
      <c r="I108" t="s">
        <v>285</v>
      </c>
      <c r="J108" s="3" t="s">
        <v>387</v>
      </c>
      <c r="K108" s="3"/>
      <c r="M108" s="4"/>
    </row>
    <row r="109" spans="1:13" x14ac:dyDescent="0.35">
      <c r="A109" s="3">
        <v>39</v>
      </c>
      <c r="B109" s="3">
        <v>549</v>
      </c>
      <c r="C109" t="s">
        <v>286</v>
      </c>
      <c r="D109" t="s">
        <v>287</v>
      </c>
      <c r="E109" t="s">
        <v>14</v>
      </c>
      <c r="F109" t="s">
        <v>25</v>
      </c>
      <c r="G109" t="s">
        <v>175</v>
      </c>
      <c r="H109" t="s">
        <v>286</v>
      </c>
      <c r="I109" t="s">
        <v>286</v>
      </c>
      <c r="J109" s="3" t="s">
        <v>387</v>
      </c>
      <c r="K109" s="3"/>
      <c r="M109" s="4"/>
    </row>
    <row r="110" spans="1:13" x14ac:dyDescent="0.35">
      <c r="A110" s="3">
        <v>32</v>
      </c>
      <c r="B110" s="3">
        <v>542</v>
      </c>
      <c r="C110" t="s">
        <v>288</v>
      </c>
      <c r="D110" t="s">
        <v>289</v>
      </c>
      <c r="E110" t="s">
        <v>14</v>
      </c>
      <c r="F110" t="s">
        <v>25</v>
      </c>
      <c r="G110" t="s">
        <v>175</v>
      </c>
      <c r="H110" t="s">
        <v>286</v>
      </c>
      <c r="I110" t="s">
        <v>286</v>
      </c>
      <c r="J110" s="3" t="s">
        <v>387</v>
      </c>
      <c r="K110" s="3"/>
      <c r="M110" s="4"/>
    </row>
    <row r="111" spans="1:13" x14ac:dyDescent="0.35">
      <c r="A111" s="3">
        <v>23</v>
      </c>
      <c r="B111" s="3">
        <v>528</v>
      </c>
      <c r="C111" t="s">
        <v>290</v>
      </c>
      <c r="D111" t="s">
        <v>291</v>
      </c>
      <c r="E111" t="s">
        <v>14</v>
      </c>
      <c r="F111" t="s">
        <v>25</v>
      </c>
      <c r="G111" t="s">
        <v>26</v>
      </c>
      <c r="H111" t="s">
        <v>292</v>
      </c>
      <c r="I111" t="s">
        <v>292</v>
      </c>
      <c r="J111" s="3" t="s">
        <v>387</v>
      </c>
      <c r="K111" s="3"/>
      <c r="M111" s="4"/>
    </row>
    <row r="112" spans="1:13" x14ac:dyDescent="0.35">
      <c r="A112" s="3">
        <v>116</v>
      </c>
      <c r="B112" s="3">
        <v>807</v>
      </c>
      <c r="C112" t="s">
        <v>293</v>
      </c>
      <c r="D112" t="s">
        <v>294</v>
      </c>
      <c r="G112" t="s">
        <v>295</v>
      </c>
      <c r="H112" t="s">
        <v>140</v>
      </c>
      <c r="I112" t="s">
        <v>140</v>
      </c>
      <c r="J112" s="3" t="s">
        <v>234</v>
      </c>
      <c r="K112" s="3"/>
      <c r="M112" s="4"/>
    </row>
    <row r="113" spans="1:13" x14ac:dyDescent="0.35">
      <c r="A113" s="3">
        <v>117</v>
      </c>
      <c r="B113" s="3">
        <v>808</v>
      </c>
      <c r="C113" t="s">
        <v>296</v>
      </c>
      <c r="D113" t="s">
        <v>297</v>
      </c>
      <c r="G113" t="s">
        <v>295</v>
      </c>
      <c r="H113" t="s">
        <v>140</v>
      </c>
      <c r="I113" t="s">
        <v>140</v>
      </c>
      <c r="J113" s="3" t="s">
        <v>234</v>
      </c>
      <c r="K113" s="3"/>
      <c r="M113" s="4"/>
    </row>
    <row r="114" spans="1:13" x14ac:dyDescent="0.35">
      <c r="A114" s="3">
        <v>120</v>
      </c>
      <c r="B114" s="3">
        <v>847</v>
      </c>
      <c r="C114" t="s">
        <v>298</v>
      </c>
      <c r="D114" t="s">
        <v>299</v>
      </c>
      <c r="G114" t="s">
        <v>295</v>
      </c>
      <c r="H114" t="s">
        <v>140</v>
      </c>
      <c r="I114" t="s">
        <v>140</v>
      </c>
      <c r="J114" s="3" t="s">
        <v>234</v>
      </c>
      <c r="K114" s="3"/>
      <c r="M114" s="4"/>
    </row>
    <row r="115" spans="1:13" x14ac:dyDescent="0.35">
      <c r="A115" s="3">
        <v>122</v>
      </c>
      <c r="B115" s="3">
        <v>849</v>
      </c>
      <c r="C115" t="s">
        <v>300</v>
      </c>
      <c r="D115" t="s">
        <v>301</v>
      </c>
      <c r="G115" t="s">
        <v>295</v>
      </c>
      <c r="H115" t="s">
        <v>140</v>
      </c>
      <c r="I115" t="s">
        <v>140</v>
      </c>
      <c r="J115" s="3" t="s">
        <v>234</v>
      </c>
      <c r="K115" s="3"/>
      <c r="M115" s="4"/>
    </row>
    <row r="116" spans="1:13" x14ac:dyDescent="0.35">
      <c r="A116" s="3">
        <v>14</v>
      </c>
      <c r="B116" s="3">
        <v>516</v>
      </c>
      <c r="C116" t="s">
        <v>302</v>
      </c>
      <c r="D116" t="s">
        <v>303</v>
      </c>
      <c r="E116" t="s">
        <v>14</v>
      </c>
      <c r="F116" t="s">
        <v>25</v>
      </c>
      <c r="G116" t="s">
        <v>45</v>
      </c>
      <c r="H116" t="s">
        <v>303</v>
      </c>
      <c r="I116" t="s">
        <v>303</v>
      </c>
      <c r="J116" s="3" t="s">
        <v>387</v>
      </c>
      <c r="K116" s="3"/>
      <c r="M116" s="4"/>
    </row>
    <row r="117" spans="1:13" x14ac:dyDescent="0.35">
      <c r="A117" s="3">
        <v>17</v>
      </c>
      <c r="B117" s="3">
        <v>522</v>
      </c>
      <c r="C117" t="s">
        <v>304</v>
      </c>
      <c r="D117" t="s">
        <v>305</v>
      </c>
      <c r="E117" t="s">
        <v>14</v>
      </c>
      <c r="F117" t="s">
        <v>25</v>
      </c>
      <c r="G117" t="s">
        <v>26</v>
      </c>
      <c r="H117" t="s">
        <v>306</v>
      </c>
      <c r="I117" t="s">
        <v>305</v>
      </c>
      <c r="J117" s="3" t="s">
        <v>387</v>
      </c>
      <c r="K117" s="3"/>
      <c r="M117" s="4"/>
    </row>
    <row r="118" spans="1:13" x14ac:dyDescent="0.35">
      <c r="A118" s="3">
        <v>1</v>
      </c>
      <c r="B118" s="3">
        <v>501</v>
      </c>
      <c r="C118" t="s">
        <v>307</v>
      </c>
      <c r="D118" t="s">
        <v>308</v>
      </c>
      <c r="E118" t="s">
        <v>14</v>
      </c>
      <c r="F118" t="s">
        <v>25</v>
      </c>
      <c r="G118" t="s">
        <v>45</v>
      </c>
      <c r="H118" t="s">
        <v>309</v>
      </c>
      <c r="I118" t="s">
        <v>310</v>
      </c>
      <c r="J118" s="3" t="s">
        <v>387</v>
      </c>
      <c r="K118" s="3"/>
      <c r="M118" s="4"/>
    </row>
    <row r="119" spans="1:13" x14ac:dyDescent="0.35">
      <c r="A119" s="3">
        <v>21</v>
      </c>
      <c r="B119" s="3">
        <v>526</v>
      </c>
      <c r="C119" t="s">
        <v>311</v>
      </c>
      <c r="D119" t="s">
        <v>312</v>
      </c>
      <c r="E119" t="s">
        <v>14</v>
      </c>
      <c r="F119" t="s">
        <v>25</v>
      </c>
      <c r="G119" t="s">
        <v>26</v>
      </c>
      <c r="H119" t="s">
        <v>313</v>
      </c>
      <c r="I119" t="s">
        <v>314</v>
      </c>
      <c r="J119" s="3" t="s">
        <v>387</v>
      </c>
      <c r="K119" s="3"/>
      <c r="M119" s="4"/>
    </row>
    <row r="120" spans="1:13" x14ac:dyDescent="0.35">
      <c r="A120" s="3">
        <v>10</v>
      </c>
      <c r="B120" s="3">
        <v>512</v>
      </c>
      <c r="C120" t="s">
        <v>315</v>
      </c>
      <c r="D120" t="s">
        <v>316</v>
      </c>
      <c r="E120" t="s">
        <v>14</v>
      </c>
      <c r="F120" t="s">
        <v>25</v>
      </c>
      <c r="G120" t="s">
        <v>45</v>
      </c>
      <c r="H120" t="s">
        <v>317</v>
      </c>
      <c r="I120" t="s">
        <v>318</v>
      </c>
      <c r="J120" s="3" t="s">
        <v>387</v>
      </c>
      <c r="K120" s="3"/>
      <c r="M120" s="4"/>
    </row>
    <row r="121" spans="1:13" x14ac:dyDescent="0.35">
      <c r="A121" s="3">
        <v>72</v>
      </c>
      <c r="B121" s="3">
        <v>621</v>
      </c>
      <c r="C121" t="s">
        <v>319</v>
      </c>
      <c r="D121" t="s">
        <v>320</v>
      </c>
      <c r="E121" t="s">
        <v>14</v>
      </c>
      <c r="F121" t="s">
        <v>37</v>
      </c>
      <c r="G121" t="s">
        <v>107</v>
      </c>
      <c r="H121" t="s">
        <v>107</v>
      </c>
      <c r="I121" t="s">
        <v>321</v>
      </c>
      <c r="J121" s="3" t="s">
        <v>37</v>
      </c>
      <c r="K121" s="3"/>
      <c r="M121" s="4"/>
    </row>
    <row r="122" spans="1:13" x14ac:dyDescent="0.35">
      <c r="A122" s="3">
        <v>73</v>
      </c>
      <c r="B122" s="3">
        <v>622</v>
      </c>
      <c r="C122" t="s">
        <v>322</v>
      </c>
      <c r="D122" t="s">
        <v>323</v>
      </c>
      <c r="E122" t="s">
        <v>14</v>
      </c>
      <c r="F122" t="s">
        <v>37</v>
      </c>
      <c r="G122" t="s">
        <v>107</v>
      </c>
      <c r="H122" t="s">
        <v>107</v>
      </c>
      <c r="I122" t="s">
        <v>324</v>
      </c>
      <c r="J122" s="3" t="s">
        <v>37</v>
      </c>
      <c r="K122" s="3"/>
      <c r="M122" s="4"/>
    </row>
    <row r="123" spans="1:13" x14ac:dyDescent="0.35">
      <c r="A123" s="3">
        <v>74</v>
      </c>
      <c r="B123" s="3">
        <v>623</v>
      </c>
      <c r="C123" t="s">
        <v>325</v>
      </c>
      <c r="D123" t="s">
        <v>323</v>
      </c>
      <c r="E123" t="s">
        <v>14</v>
      </c>
      <c r="F123" t="s">
        <v>37</v>
      </c>
      <c r="G123" t="s">
        <v>107</v>
      </c>
      <c r="H123" t="s">
        <v>107</v>
      </c>
      <c r="I123" t="s">
        <v>324</v>
      </c>
      <c r="J123" s="3" t="s">
        <v>37</v>
      </c>
      <c r="K123" s="3"/>
      <c r="M123" s="4"/>
    </row>
    <row r="124" spans="1:13" x14ac:dyDescent="0.35">
      <c r="A124" s="3">
        <v>139</v>
      </c>
      <c r="B124" s="3">
        <v>930</v>
      </c>
      <c r="C124" t="s">
        <v>326</v>
      </c>
      <c r="D124" t="s">
        <v>327</v>
      </c>
      <c r="E124" t="s">
        <v>14</v>
      </c>
      <c r="F124" t="s">
        <v>37</v>
      </c>
      <c r="G124" t="s">
        <v>116</v>
      </c>
      <c r="H124" t="s">
        <v>116</v>
      </c>
      <c r="I124" t="s">
        <v>328</v>
      </c>
      <c r="J124" s="3" t="s">
        <v>37</v>
      </c>
      <c r="K124" s="3"/>
      <c r="M124" s="4"/>
    </row>
    <row r="125" spans="1:13" x14ac:dyDescent="0.35">
      <c r="A125" s="3">
        <v>24</v>
      </c>
      <c r="B125" s="3">
        <v>531</v>
      </c>
      <c r="C125" t="s">
        <v>329</v>
      </c>
      <c r="D125" t="s">
        <v>330</v>
      </c>
      <c r="E125" t="s">
        <v>14</v>
      </c>
      <c r="F125" t="s">
        <v>25</v>
      </c>
      <c r="G125" t="s">
        <v>26</v>
      </c>
      <c r="H125" t="s">
        <v>330</v>
      </c>
      <c r="I125" t="s">
        <v>330</v>
      </c>
      <c r="J125" s="3" t="s">
        <v>387</v>
      </c>
      <c r="K125" s="3"/>
      <c r="M125" s="4"/>
    </row>
    <row r="126" spans="1:13" x14ac:dyDescent="0.35">
      <c r="A126" s="3">
        <v>59</v>
      </c>
      <c r="B126" s="3">
        <v>592</v>
      </c>
      <c r="C126" t="s">
        <v>331</v>
      </c>
      <c r="D126" t="s">
        <v>332</v>
      </c>
      <c r="E126" t="s">
        <v>14</v>
      </c>
      <c r="F126" t="s">
        <v>25</v>
      </c>
      <c r="G126" t="s">
        <v>26</v>
      </c>
      <c r="H126" t="s">
        <v>330</v>
      </c>
      <c r="I126" t="s">
        <v>330</v>
      </c>
      <c r="J126" s="3" t="s">
        <v>387</v>
      </c>
      <c r="K126" s="3"/>
      <c r="M126" s="4"/>
    </row>
    <row r="127" spans="1:13" x14ac:dyDescent="0.35">
      <c r="A127" s="3">
        <v>31</v>
      </c>
      <c r="B127" s="3">
        <v>541</v>
      </c>
      <c r="C127" t="s">
        <v>333</v>
      </c>
      <c r="D127" t="s">
        <v>334</v>
      </c>
      <c r="E127" t="s">
        <v>14</v>
      </c>
      <c r="F127" t="s">
        <v>25</v>
      </c>
      <c r="G127" t="s">
        <v>26</v>
      </c>
      <c r="H127" t="s">
        <v>335</v>
      </c>
      <c r="I127" t="s">
        <v>335</v>
      </c>
      <c r="J127" s="3" t="s">
        <v>387</v>
      </c>
      <c r="K127" s="3"/>
      <c r="M127" s="4"/>
    </row>
    <row r="128" spans="1:13" x14ac:dyDescent="0.35">
      <c r="A128" s="3">
        <v>95</v>
      </c>
      <c r="B128" s="3">
        <v>712</v>
      </c>
      <c r="C128" t="s">
        <v>336</v>
      </c>
      <c r="D128" t="s">
        <v>337</v>
      </c>
      <c r="E128" t="s">
        <v>14</v>
      </c>
      <c r="F128" t="s">
        <v>15</v>
      </c>
      <c r="G128" t="s">
        <v>338</v>
      </c>
      <c r="H128" t="s">
        <v>338</v>
      </c>
      <c r="I128" t="s">
        <v>339</v>
      </c>
      <c r="J128" s="3" t="s">
        <v>234</v>
      </c>
      <c r="K128" s="3"/>
      <c r="M128" s="4"/>
    </row>
    <row r="129" spans="1:13" x14ac:dyDescent="0.35">
      <c r="A129" s="3">
        <v>96</v>
      </c>
      <c r="B129" s="3">
        <v>713</v>
      </c>
      <c r="C129" t="s">
        <v>340</v>
      </c>
      <c r="D129" t="s">
        <v>341</v>
      </c>
      <c r="E129" t="s">
        <v>14</v>
      </c>
      <c r="F129" t="s">
        <v>15</v>
      </c>
      <c r="G129" t="s">
        <v>338</v>
      </c>
      <c r="H129" t="s">
        <v>338</v>
      </c>
      <c r="I129" t="s">
        <v>339</v>
      </c>
      <c r="J129" s="3" t="s">
        <v>234</v>
      </c>
      <c r="K129" s="3"/>
      <c r="M129" s="4"/>
    </row>
    <row r="130" spans="1:13" x14ac:dyDescent="0.35">
      <c r="A130" s="3">
        <v>4</v>
      </c>
      <c r="B130" s="3">
        <v>505</v>
      </c>
      <c r="C130" t="s">
        <v>342</v>
      </c>
      <c r="D130" t="s">
        <v>343</v>
      </c>
      <c r="E130" t="s">
        <v>14</v>
      </c>
      <c r="F130" t="s">
        <v>25</v>
      </c>
      <c r="G130" t="s">
        <v>45</v>
      </c>
      <c r="H130" t="s">
        <v>344</v>
      </c>
      <c r="I130" t="s">
        <v>342</v>
      </c>
      <c r="J130" s="3" t="s">
        <v>387</v>
      </c>
      <c r="K130" s="3"/>
      <c r="M130" s="4"/>
    </row>
    <row r="131" spans="1:13" x14ac:dyDescent="0.35">
      <c r="A131" s="3">
        <v>35</v>
      </c>
      <c r="B131" s="3">
        <v>545</v>
      </c>
      <c r="C131" t="s">
        <v>345</v>
      </c>
      <c r="D131" t="s">
        <v>346</v>
      </c>
      <c r="E131" t="s">
        <v>14</v>
      </c>
      <c r="F131" t="s">
        <v>25</v>
      </c>
      <c r="G131" t="s">
        <v>52</v>
      </c>
      <c r="H131" t="s">
        <v>137</v>
      </c>
      <c r="I131" t="s">
        <v>137</v>
      </c>
      <c r="J131" s="3" t="s">
        <v>387</v>
      </c>
      <c r="K131" s="3"/>
      <c r="M131" s="4"/>
    </row>
    <row r="132" spans="1:13" x14ac:dyDescent="0.35">
      <c r="A132" s="3">
        <v>36</v>
      </c>
      <c r="B132" s="3">
        <v>546</v>
      </c>
      <c r="C132" t="s">
        <v>347</v>
      </c>
      <c r="D132" t="s">
        <v>348</v>
      </c>
      <c r="E132" t="s">
        <v>14</v>
      </c>
      <c r="F132" t="s">
        <v>25</v>
      </c>
      <c r="G132" t="s">
        <v>52</v>
      </c>
      <c r="H132" t="s">
        <v>137</v>
      </c>
      <c r="I132" t="s">
        <v>137</v>
      </c>
      <c r="J132" s="3" t="s">
        <v>387</v>
      </c>
      <c r="K132" s="3"/>
      <c r="M132" s="4"/>
    </row>
    <row r="133" spans="1:13" x14ac:dyDescent="0.35">
      <c r="A133" s="3">
        <v>115</v>
      </c>
      <c r="B133" s="3">
        <v>806</v>
      </c>
      <c r="C133" t="s">
        <v>349</v>
      </c>
      <c r="D133" t="s">
        <v>350</v>
      </c>
      <c r="G133" t="s">
        <v>295</v>
      </c>
      <c r="H133" t="s">
        <v>137</v>
      </c>
      <c r="I133" t="s">
        <v>137</v>
      </c>
      <c r="J133" s="3" t="s">
        <v>387</v>
      </c>
      <c r="K133" s="3"/>
      <c r="M133" s="4"/>
    </row>
    <row r="134" spans="1:13" x14ac:dyDescent="0.35">
      <c r="A134" s="3">
        <v>84</v>
      </c>
      <c r="B134" s="3">
        <v>701</v>
      </c>
      <c r="C134" t="s">
        <v>351</v>
      </c>
      <c r="D134" t="s">
        <v>352</v>
      </c>
      <c r="E134" t="s">
        <v>14</v>
      </c>
      <c r="F134" t="s">
        <v>15</v>
      </c>
      <c r="G134" t="s">
        <v>16</v>
      </c>
      <c r="H134" t="s">
        <v>353</v>
      </c>
      <c r="I134" t="s">
        <v>353</v>
      </c>
      <c r="J134" s="3" t="s">
        <v>234</v>
      </c>
      <c r="K134" s="3"/>
      <c r="M134" s="4"/>
    </row>
    <row r="135" spans="1:13" x14ac:dyDescent="0.35">
      <c r="A135" s="3">
        <v>99</v>
      </c>
      <c r="B135" s="3">
        <v>717</v>
      </c>
      <c r="C135" t="s">
        <v>354</v>
      </c>
      <c r="D135" t="s">
        <v>355</v>
      </c>
      <c r="E135" t="s">
        <v>14</v>
      </c>
      <c r="F135" t="s">
        <v>15</v>
      </c>
      <c r="G135" t="s">
        <v>16</v>
      </c>
      <c r="H135" t="s">
        <v>353</v>
      </c>
      <c r="I135" t="s">
        <v>353</v>
      </c>
      <c r="J135" s="3" t="s">
        <v>234</v>
      </c>
      <c r="K135" s="3"/>
      <c r="M135" s="4"/>
    </row>
    <row r="136" spans="1:13" x14ac:dyDescent="0.35">
      <c r="A136" s="3">
        <v>104</v>
      </c>
      <c r="B136" s="3">
        <v>722</v>
      </c>
      <c r="C136" t="s">
        <v>356</v>
      </c>
      <c r="D136" t="s">
        <v>357</v>
      </c>
      <c r="E136" t="s">
        <v>14</v>
      </c>
      <c r="F136" t="s">
        <v>15</v>
      </c>
      <c r="G136" t="s">
        <v>16</v>
      </c>
      <c r="H136" t="s">
        <v>353</v>
      </c>
      <c r="I136" t="s">
        <v>353</v>
      </c>
      <c r="J136" s="3" t="s">
        <v>234</v>
      </c>
      <c r="K136" s="3"/>
      <c r="M136" s="4"/>
    </row>
    <row r="137" spans="1:13" x14ac:dyDescent="0.35">
      <c r="A137" s="3">
        <v>108</v>
      </c>
      <c r="B137" s="3">
        <v>735</v>
      </c>
      <c r="C137" t="s">
        <v>358</v>
      </c>
      <c r="D137" t="s">
        <v>359</v>
      </c>
      <c r="E137" t="s">
        <v>14</v>
      </c>
      <c r="F137" t="s">
        <v>15</v>
      </c>
      <c r="G137" t="s">
        <v>16</v>
      </c>
      <c r="H137" t="s">
        <v>353</v>
      </c>
      <c r="I137" t="s">
        <v>353</v>
      </c>
      <c r="J137" s="3" t="s">
        <v>234</v>
      </c>
      <c r="K137" s="3"/>
      <c r="M137" s="4"/>
    </row>
    <row r="138" spans="1:13" x14ac:dyDescent="0.35">
      <c r="A138" s="3">
        <v>134</v>
      </c>
      <c r="B138" s="3">
        <v>906</v>
      </c>
      <c r="C138" t="s">
        <v>360</v>
      </c>
      <c r="D138" t="s">
        <v>361</v>
      </c>
      <c r="E138" t="s">
        <v>77</v>
      </c>
      <c r="H138" t="s">
        <v>233</v>
      </c>
      <c r="I138" t="s">
        <v>210</v>
      </c>
      <c r="J138" s="3" t="s">
        <v>234</v>
      </c>
      <c r="K138" s="3"/>
      <c r="M138" s="4"/>
    </row>
    <row r="139" spans="1:13" x14ac:dyDescent="0.35">
      <c r="A139" s="3">
        <v>132</v>
      </c>
      <c r="B139" s="3">
        <v>904</v>
      </c>
      <c r="C139" t="s">
        <v>362</v>
      </c>
      <c r="D139" t="s">
        <v>363</v>
      </c>
      <c r="E139" t="s">
        <v>209</v>
      </c>
      <c r="H139" t="s">
        <v>364</v>
      </c>
      <c r="I139" t="s">
        <v>210</v>
      </c>
      <c r="J139" s="3" t="s">
        <v>234</v>
      </c>
      <c r="K139" s="3"/>
      <c r="M139" s="4"/>
    </row>
    <row r="140" spans="1:13" x14ac:dyDescent="0.35">
      <c r="A140" s="3">
        <v>6</v>
      </c>
      <c r="B140" s="3">
        <v>507</v>
      </c>
      <c r="C140" t="s">
        <v>365</v>
      </c>
      <c r="D140" t="s">
        <v>366</v>
      </c>
      <c r="E140" t="s">
        <v>14</v>
      </c>
      <c r="F140" t="s">
        <v>25</v>
      </c>
      <c r="G140" t="s">
        <v>45</v>
      </c>
      <c r="H140" t="s">
        <v>344</v>
      </c>
      <c r="I140" t="s">
        <v>367</v>
      </c>
      <c r="J140" s="3" t="s">
        <v>37</v>
      </c>
      <c r="K140" s="3"/>
      <c r="M140" s="4"/>
    </row>
    <row r="141" spans="1:13" x14ac:dyDescent="0.35">
      <c r="A141" s="3">
        <v>2</v>
      </c>
      <c r="B141" s="3">
        <v>502</v>
      </c>
      <c r="C141" t="s">
        <v>368</v>
      </c>
      <c r="D141" t="s">
        <v>369</v>
      </c>
      <c r="E141" t="s">
        <v>14</v>
      </c>
      <c r="F141" t="s">
        <v>25</v>
      </c>
      <c r="G141" t="s">
        <v>45</v>
      </c>
      <c r="H141" t="s">
        <v>370</v>
      </c>
      <c r="I141" t="s">
        <v>371</v>
      </c>
      <c r="J141" s="3" t="s">
        <v>387</v>
      </c>
      <c r="K141" s="3"/>
      <c r="M141" s="4"/>
    </row>
    <row r="142" spans="1:13" x14ac:dyDescent="0.35">
      <c r="A142" s="3">
        <v>22</v>
      </c>
      <c r="B142" s="3">
        <v>527</v>
      </c>
      <c r="C142" t="s">
        <v>372</v>
      </c>
      <c r="D142" t="s">
        <v>373</v>
      </c>
      <c r="E142" t="s">
        <v>14</v>
      </c>
      <c r="F142" t="s">
        <v>25</v>
      </c>
      <c r="G142" t="s">
        <v>26</v>
      </c>
      <c r="H142" t="s">
        <v>374</v>
      </c>
      <c r="I142" t="s">
        <v>375</v>
      </c>
      <c r="J142" s="3" t="s">
        <v>387</v>
      </c>
      <c r="K142" s="3"/>
      <c r="M142" s="4"/>
    </row>
    <row r="143" spans="1:13" x14ac:dyDescent="0.35">
      <c r="A143" s="3">
        <v>58</v>
      </c>
      <c r="B143" s="3">
        <v>591</v>
      </c>
      <c r="C143" t="s">
        <v>376</v>
      </c>
      <c r="D143" t="s">
        <v>377</v>
      </c>
      <c r="E143" t="s">
        <v>14</v>
      </c>
      <c r="F143" t="s">
        <v>25</v>
      </c>
      <c r="G143" t="s">
        <v>26</v>
      </c>
      <c r="H143" t="s">
        <v>374</v>
      </c>
      <c r="I143" t="s">
        <v>375</v>
      </c>
      <c r="J143" s="3" t="s">
        <v>387</v>
      </c>
      <c r="K143" s="3"/>
      <c r="M143" s="4"/>
    </row>
    <row r="144" spans="1:13" x14ac:dyDescent="0.35">
      <c r="A144" s="3">
        <v>11</v>
      </c>
      <c r="B144" s="3">
        <v>513</v>
      </c>
      <c r="C144" t="s">
        <v>378</v>
      </c>
      <c r="D144" t="s">
        <v>379</v>
      </c>
      <c r="E144" t="s">
        <v>14</v>
      </c>
      <c r="F144" t="s">
        <v>25</v>
      </c>
      <c r="G144" t="s">
        <v>45</v>
      </c>
      <c r="H144" t="s">
        <v>380</v>
      </c>
      <c r="I144" t="s">
        <v>381</v>
      </c>
      <c r="J144" s="3" t="s">
        <v>387</v>
      </c>
      <c r="K144" s="3"/>
      <c r="M1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label_sheet</vt:lpstr>
      <vt:lpstr>Tabelle2</vt:lpstr>
      <vt:lpstr>arable_grassland</vt:lpstr>
      <vt:lpstr>'label_sheet'!_FilterDatabase</vt:lpstr>
      <vt:lpstr>Tabelle2!_FilterDatabase</vt:lpstr>
      <vt:lpstr>'label_sheet'!ExterneDaten_1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Ledain Sélène AGROSCOPE</cp:lastModifiedBy>
  <dcterms:created xsi:type="dcterms:W3CDTF">2025-07-23T12:41:47Z</dcterms:created>
  <dcterms:modified xsi:type="dcterms:W3CDTF">2025-10-31T13:08:34Z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2025-10-31T12:19:18Z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8fdeb0a8-2af5-421a-8207-5e5e13d71211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